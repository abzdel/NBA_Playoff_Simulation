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udent\Desktop\Classes\Spring 2021\Sports Stats\final project\"/>
    </mc:Choice>
  </mc:AlternateContent>
  <xr:revisionPtr revIDLastSave="0" documentId="13_ncr:1_{68B9F69E-1C3F-4773-8A56-2ACE1CCACFF2}" xr6:coauthVersionLast="46" xr6:coauthVersionMax="46" xr10:uidLastSave="{00000000-0000-0000-0000-000000000000}"/>
  <bookViews>
    <workbookView xWindow="-110" yWindow="-110" windowWidth="19420" windowHeight="10420" firstSheet="1" activeTab="4" xr2:uid="{00000000-000D-0000-FFFF-FFFF00000000}"/>
  </bookViews>
  <sheets>
    <sheet name="Simulation" sheetId="5" state="hidden" r:id="rId1"/>
    <sheet name="Team Table" sheetId="12" r:id="rId2"/>
    <sheet name="East Standings" sheetId="17" r:id="rId3"/>
    <sheet name="West Standings" sheetId="18" r:id="rId4"/>
    <sheet name="1 game series" sheetId="8" r:id="rId5"/>
    <sheet name="NCAA Data" sheetId="6" state="hidden" r:id="rId6"/>
    <sheet name="NCAA Sim" sheetId="7" state="hidden" r:id="rId7"/>
  </sheets>
  <externalReferences>
    <externalReference r:id="rId8"/>
    <externalReference r:id="rId9"/>
    <externalReference r:id="rId10"/>
  </externalReferences>
  <definedNames>
    <definedName name="games">[1]Double_Elim!$H$28</definedName>
    <definedName name="MLBGrid">'[2]MLB Data'!$A$1:$I$9</definedName>
    <definedName name="MLBSeedGrid">'[2]MLB Data 2'!$A$1:$E$5</definedName>
    <definedName name="NBAGrid">'[2]NBA Data'!$O$1:$W$9</definedName>
    <definedName name="Perc">[3]Results!$A$2:$B$65</definedName>
    <definedName name="Percentages">[2]Results!$A$2:$B$65</definedName>
    <definedName name="SeedHist">'NCAA Data'!$L$24:$M$39</definedName>
    <definedName name="seedperc">'NCAA Data'!$C$1:$T$17</definedName>
    <definedName name="teams">[1]Double_Elim!$G$23:$H$26</definedName>
    <definedName name="unit">'[2]win units'!$C$27</definedName>
    <definedName name="wseedperc">'[2]NCAAW Data'!$C$1:$T$17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7" i="8" l="1"/>
  <c r="H28" i="8"/>
  <c r="H41" i="8"/>
  <c r="D46" i="8"/>
  <c r="D40" i="8"/>
  <c r="D33" i="8"/>
  <c r="D27" i="8"/>
  <c r="M11" i="8"/>
  <c r="P23" i="8"/>
  <c r="H2" i="8"/>
  <c r="H15" i="8"/>
  <c r="D20" i="8"/>
  <c r="D14" i="8"/>
  <c r="D7" i="8"/>
  <c r="D1" i="8"/>
  <c r="A62" i="8"/>
  <c r="A63" i="8"/>
  <c r="A64" i="8"/>
  <c r="A65" i="8"/>
  <c r="A66" i="8"/>
  <c r="A67" i="8"/>
  <c r="A68" i="8"/>
  <c r="A61" i="8"/>
  <c r="A54" i="8"/>
  <c r="A55" i="8"/>
  <c r="A56" i="8"/>
  <c r="A57" i="8"/>
  <c r="A58" i="8"/>
  <c r="A59" i="8"/>
  <c r="A60" i="8"/>
  <c r="A53" i="8"/>
  <c r="B50" i="8"/>
  <c r="B49" i="8"/>
  <c r="B44" i="8"/>
  <c r="B43" i="8"/>
  <c r="B37" i="8"/>
  <c r="B36" i="8"/>
  <c r="B31" i="8"/>
  <c r="B30" i="8"/>
  <c r="B24" i="8"/>
  <c r="B23" i="8"/>
  <c r="B18" i="8"/>
  <c r="B17" i="8"/>
  <c r="B11" i="8"/>
  <c r="B10" i="8"/>
  <c r="B5" i="8"/>
  <c r="B4" i="8"/>
  <c r="A50" i="8" l="1"/>
  <c r="A49" i="8"/>
  <c r="A44" i="8"/>
  <c r="A43" i="8"/>
  <c r="A37" i="8"/>
  <c r="A31" i="8"/>
  <c r="A30" i="8"/>
  <c r="A24" i="8"/>
  <c r="A23" i="8"/>
  <c r="A17" i="8"/>
  <c r="A18" i="8"/>
  <c r="A11" i="8"/>
  <c r="A10" i="8"/>
  <c r="A5" i="8"/>
  <c r="A4" i="8"/>
  <c r="C7" i="18"/>
  <c r="D7" i="18" s="1"/>
  <c r="E7" i="18" s="1"/>
  <c r="C10" i="18"/>
  <c r="D10" i="18" s="1"/>
  <c r="E10" i="18" s="1"/>
  <c r="C14" i="18"/>
  <c r="D14" i="18" s="1"/>
  <c r="E14" i="18" s="1"/>
  <c r="D5" i="18"/>
  <c r="E5" i="18" s="1"/>
  <c r="C5" i="18"/>
  <c r="C17" i="18"/>
  <c r="D17" i="18" s="1"/>
  <c r="E17" i="18" s="1"/>
  <c r="C6" i="18"/>
  <c r="D6" i="18" s="1"/>
  <c r="E6" i="18" s="1"/>
  <c r="C8" i="18"/>
  <c r="D8" i="18" s="1"/>
  <c r="E8" i="18" s="1"/>
  <c r="C9" i="18"/>
  <c r="D9" i="18" s="1"/>
  <c r="E9" i="18" s="1"/>
  <c r="C16" i="18"/>
  <c r="D16" i="18" s="1"/>
  <c r="E16" i="18" s="1"/>
  <c r="C13" i="18"/>
  <c r="D13" i="18" s="1"/>
  <c r="E13" i="18" s="1"/>
  <c r="D12" i="18"/>
  <c r="E12" i="18" s="1"/>
  <c r="C12" i="18"/>
  <c r="C3" i="18"/>
  <c r="D3" i="18" s="1"/>
  <c r="E3" i="18" s="1"/>
  <c r="C4" i="18"/>
  <c r="D4" i="18" s="1"/>
  <c r="E4" i="18" s="1"/>
  <c r="C11" i="18"/>
  <c r="D11" i="18" s="1"/>
  <c r="E11" i="18" s="1"/>
  <c r="C15" i="18"/>
  <c r="D15" i="18" s="1"/>
  <c r="E15" i="18" s="1"/>
  <c r="C10" i="17"/>
  <c r="D10" i="17" s="1"/>
  <c r="E10" i="17" s="1"/>
  <c r="C3" i="17"/>
  <c r="D3" i="17" s="1"/>
  <c r="E3" i="17" s="1"/>
  <c r="C5" i="17"/>
  <c r="D5" i="17" s="1"/>
  <c r="E5" i="17" s="1"/>
  <c r="C16" i="17"/>
  <c r="D16" i="17" s="1"/>
  <c r="E16" i="17" s="1"/>
  <c r="C13" i="17"/>
  <c r="D13" i="17" s="1"/>
  <c r="E13" i="17" s="1"/>
  <c r="C8" i="17"/>
  <c r="D8" i="17" s="1"/>
  <c r="E8" i="17" s="1"/>
  <c r="C9" i="17"/>
  <c r="D9" i="17" s="1"/>
  <c r="E9" i="17" s="1"/>
  <c r="C7" i="17"/>
  <c r="D7" i="17" s="1"/>
  <c r="E7" i="17" s="1"/>
  <c r="C11" i="17"/>
  <c r="D11" i="17" s="1"/>
  <c r="E11" i="17" s="1"/>
  <c r="C6" i="17"/>
  <c r="D6" i="17" s="1"/>
  <c r="E6" i="17" s="1"/>
  <c r="C15" i="17"/>
  <c r="D15" i="17" s="1"/>
  <c r="E15" i="17" s="1"/>
  <c r="D12" i="17"/>
  <c r="E12" i="17" s="1"/>
  <c r="C12" i="17"/>
  <c r="C14" i="17"/>
  <c r="D14" i="17" s="1"/>
  <c r="E14" i="17" s="1"/>
  <c r="C4" i="17"/>
  <c r="D4" i="17" s="1"/>
  <c r="E4" i="17" s="1"/>
  <c r="C17" i="17"/>
  <c r="D17" i="17" s="1"/>
  <c r="E17" i="17" s="1"/>
  <c r="A36" i="8" l="1"/>
  <c r="C3" i="12"/>
  <c r="D3" i="12" s="1"/>
  <c r="E3" i="12" s="1"/>
  <c r="C4" i="12"/>
  <c r="D4" i="12" s="1"/>
  <c r="E4" i="12" s="1"/>
  <c r="C5" i="12"/>
  <c r="D5" i="12" s="1"/>
  <c r="E5" i="12" s="1"/>
  <c r="C6" i="12"/>
  <c r="D6" i="12" s="1"/>
  <c r="E6" i="12" s="1"/>
  <c r="C7" i="12"/>
  <c r="D7" i="12" s="1"/>
  <c r="E7" i="12" s="1"/>
  <c r="C11" i="12"/>
  <c r="D11" i="12" s="1"/>
  <c r="E11" i="12" s="1"/>
  <c r="C24" i="12"/>
  <c r="D24" i="12" s="1"/>
  <c r="E24" i="12" s="1"/>
  <c r="C17" i="12"/>
  <c r="D17" i="12" s="1"/>
  <c r="E17" i="12" s="1"/>
  <c r="C25" i="12"/>
  <c r="D25" i="12" s="1"/>
  <c r="E25" i="12" s="1"/>
  <c r="C12" i="12"/>
  <c r="D12" i="12" s="1"/>
  <c r="E12" i="12" s="1"/>
  <c r="C18" i="12"/>
  <c r="D18" i="12" s="1"/>
  <c r="E18" i="12" s="1"/>
  <c r="C26" i="12"/>
  <c r="D26" i="12" s="1"/>
  <c r="E26" i="12" s="1"/>
  <c r="C13" i="12"/>
  <c r="D13" i="12" s="1"/>
  <c r="E13" i="12" s="1"/>
  <c r="C14" i="12"/>
  <c r="D14" i="12" s="1"/>
  <c r="E14" i="12" s="1"/>
  <c r="C8" i="12"/>
  <c r="D8" i="12" s="1"/>
  <c r="E8" i="12" s="1"/>
  <c r="C19" i="12"/>
  <c r="D19" i="12" s="1"/>
  <c r="E19" i="12" s="1"/>
  <c r="C27" i="12"/>
  <c r="D27" i="12" s="1"/>
  <c r="E27" i="12" s="1"/>
  <c r="C20" i="12"/>
  <c r="D20" i="12" s="1"/>
  <c r="E20" i="12" s="1"/>
  <c r="C9" i="12"/>
  <c r="D9" i="12" s="1"/>
  <c r="E9" i="12" s="1"/>
  <c r="C28" i="12"/>
  <c r="D28" i="12" s="1"/>
  <c r="E28" i="12" s="1"/>
  <c r="C21" i="12"/>
  <c r="D21" i="12" s="1"/>
  <c r="E21" i="12" s="1"/>
  <c r="C22" i="12"/>
  <c r="D22" i="12" s="1"/>
  <c r="E22" i="12" s="1"/>
  <c r="C29" i="12"/>
  <c r="D29" i="12" s="1"/>
  <c r="E29" i="12" s="1"/>
  <c r="C30" i="12"/>
  <c r="D30" i="12" s="1"/>
  <c r="E30" i="12" s="1"/>
  <c r="C15" i="12"/>
  <c r="D15" i="12" s="1"/>
  <c r="E15" i="12" s="1"/>
  <c r="C31" i="12"/>
  <c r="D31" i="12" s="1"/>
  <c r="E31" i="12" s="1"/>
  <c r="C23" i="12"/>
  <c r="D23" i="12" s="1"/>
  <c r="E23" i="12" s="1"/>
  <c r="C16" i="12"/>
  <c r="D16" i="12" s="1"/>
  <c r="E16" i="12" s="1"/>
  <c r="C10" i="12"/>
  <c r="D10" i="12" s="1"/>
  <c r="E10" i="12" s="1"/>
  <c r="C2" i="12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53" i="8"/>
  <c r="D2" i="12"/>
  <c r="E2" i="12" s="1"/>
  <c r="D34" i="8" l="1"/>
  <c r="D37" i="8" s="1"/>
  <c r="E37" i="8" s="1"/>
  <c r="F37" i="8" s="1"/>
  <c r="D28" i="8"/>
  <c r="D31" i="8" s="1"/>
  <c r="E31" i="8" s="1"/>
  <c r="F31" i="8" s="1"/>
  <c r="D47" i="8"/>
  <c r="D50" i="8" s="1"/>
  <c r="E50" i="8" s="1"/>
  <c r="F50" i="8" s="1"/>
  <c r="D41" i="8"/>
  <c r="D44" i="8" s="1"/>
  <c r="E44" i="8" s="1"/>
  <c r="F44" i="8" s="1"/>
  <c r="D21" i="8"/>
  <c r="D24" i="8" s="1"/>
  <c r="E24" i="8" s="1"/>
  <c r="F24" i="8" s="1"/>
  <c r="D15" i="8"/>
  <c r="D18" i="8" s="1"/>
  <c r="E18" i="8" s="1"/>
  <c r="F18" i="8" s="1"/>
  <c r="D8" i="8"/>
  <c r="D11" i="8" s="1"/>
  <c r="E11" i="8" s="1"/>
  <c r="F11" i="8" s="1"/>
  <c r="D2" i="8"/>
  <c r="D5" i="8" s="1"/>
  <c r="E5" i="8" s="1"/>
  <c r="F5" i="8" s="1"/>
  <c r="H29" i="8" l="1"/>
  <c r="H34" i="8" s="1"/>
  <c r="I34" i="8" s="1"/>
  <c r="J34" i="8" s="1"/>
  <c r="H42" i="8"/>
  <c r="H47" i="8" s="1"/>
  <c r="I47" i="8" s="1"/>
  <c r="J47" i="8" s="1"/>
  <c r="H16" i="8"/>
  <c r="H21" i="8" s="1"/>
  <c r="I21" i="8" s="1"/>
  <c r="J21" i="8" s="1"/>
  <c r="H3" i="8"/>
  <c r="H8" i="8" s="1"/>
  <c r="I8" i="8" s="1"/>
  <c r="J8" i="8" s="1"/>
  <c r="E2" i="5"/>
  <c r="M38" i="8" l="1"/>
  <c r="M43" i="8" s="1"/>
  <c r="N43" i="8" s="1"/>
  <c r="O43" i="8" s="1"/>
  <c r="M12" i="8"/>
  <c r="M17" i="8" s="1"/>
  <c r="N17" i="8" s="1"/>
  <c r="O17" i="8" s="1"/>
  <c r="B159" i="7"/>
  <c r="D158" i="7" s="1"/>
  <c r="D157" i="7"/>
  <c r="I155" i="7"/>
  <c r="B154" i="7"/>
  <c r="B155" i="7" s="1"/>
  <c r="D152" i="7"/>
  <c r="N151" i="7"/>
  <c r="B149" i="7"/>
  <c r="D148" i="7" s="1"/>
  <c r="D147" i="7"/>
  <c r="I145" i="7"/>
  <c r="B144" i="7"/>
  <c r="B145" i="7" s="1"/>
  <c r="T143" i="7"/>
  <c r="D142" i="7"/>
  <c r="B139" i="7"/>
  <c r="D138" i="7" s="1"/>
  <c r="D137" i="7"/>
  <c r="I135" i="7"/>
  <c r="B134" i="7"/>
  <c r="B135" i="7" s="1"/>
  <c r="D132" i="7"/>
  <c r="N131" i="7"/>
  <c r="B129" i="7"/>
  <c r="D128" i="7" s="1"/>
  <c r="D127" i="7"/>
  <c r="I125" i="7"/>
  <c r="B124" i="7"/>
  <c r="B125" i="7" s="1"/>
  <c r="D122" i="7"/>
  <c r="Z121" i="7"/>
  <c r="B119" i="7"/>
  <c r="D118" i="7" s="1"/>
  <c r="D117" i="7"/>
  <c r="I115" i="7"/>
  <c r="B114" i="7"/>
  <c r="B115" i="7" s="1"/>
  <c r="D112" i="7"/>
  <c r="N111" i="7"/>
  <c r="B109" i="7"/>
  <c r="D108" i="7" s="1"/>
  <c r="D107" i="7"/>
  <c r="I105" i="7"/>
  <c r="B104" i="7"/>
  <c r="B105" i="7" s="1"/>
  <c r="D102" i="7"/>
  <c r="T101" i="7"/>
  <c r="B99" i="7"/>
  <c r="B100" i="7" s="1"/>
  <c r="D97" i="7"/>
  <c r="I95" i="7"/>
  <c r="B94" i="7"/>
  <c r="B95" i="7" s="1"/>
  <c r="D92" i="7"/>
  <c r="N91" i="7"/>
  <c r="AF89" i="7"/>
  <c r="AF90" i="7" s="1"/>
  <c r="AF91" i="7" s="1"/>
  <c r="AF92" i="7" s="1"/>
  <c r="AF93" i="7" s="1"/>
  <c r="AF94" i="7" s="1"/>
  <c r="AF95" i="7" s="1"/>
  <c r="AF96" i="7" s="1"/>
  <c r="AF97" i="7" s="1"/>
  <c r="AF98" i="7" s="1"/>
  <c r="AF99" i="7" s="1"/>
  <c r="AF100" i="7" s="1"/>
  <c r="AF101" i="7" s="1"/>
  <c r="AF102" i="7" s="1"/>
  <c r="AF103" i="7" s="1"/>
  <c r="V89" i="7"/>
  <c r="B89" i="7"/>
  <c r="B90" i="7" s="1"/>
  <c r="V88" i="7"/>
  <c r="V87" i="7"/>
  <c r="D87" i="7"/>
  <c r="V86" i="7"/>
  <c r="V85" i="7"/>
  <c r="I85" i="7"/>
  <c r="V84" i="7"/>
  <c r="B84" i="7"/>
  <c r="AF83" i="7"/>
  <c r="V83" i="7"/>
  <c r="V82" i="7"/>
  <c r="D82" i="7"/>
  <c r="V81" i="7"/>
  <c r="V80" i="7"/>
  <c r="V79" i="7"/>
  <c r="B79" i="7"/>
  <c r="B80" i="7" s="1"/>
  <c r="V78" i="7"/>
  <c r="V77" i="7"/>
  <c r="D77" i="7"/>
  <c r="V76" i="7"/>
  <c r="V75" i="7"/>
  <c r="S75" i="7"/>
  <c r="S76" i="7" s="1"/>
  <c r="I75" i="7"/>
  <c r="V74" i="7"/>
  <c r="B74" i="7"/>
  <c r="B75" i="7" s="1"/>
  <c r="D72" i="7"/>
  <c r="N71" i="7"/>
  <c r="B69" i="7"/>
  <c r="B70" i="7" s="1"/>
  <c r="D67" i="7"/>
  <c r="I65" i="7"/>
  <c r="B64" i="7"/>
  <c r="B65" i="7" s="1"/>
  <c r="T62" i="7"/>
  <c r="D62" i="7"/>
  <c r="B59" i="7"/>
  <c r="B60" i="7" s="1"/>
  <c r="D57" i="7"/>
  <c r="I55" i="7"/>
  <c r="B54" i="7"/>
  <c r="B55" i="7" s="1"/>
  <c r="D52" i="7"/>
  <c r="N51" i="7"/>
  <c r="B49" i="7"/>
  <c r="B50" i="7" s="1"/>
  <c r="D47" i="7"/>
  <c r="I45" i="7"/>
  <c r="B44" i="7"/>
  <c r="B45" i="7" s="1"/>
  <c r="D42" i="7"/>
  <c r="Z41" i="7"/>
  <c r="B38" i="7"/>
  <c r="B39" i="7" s="1"/>
  <c r="D36" i="7"/>
  <c r="I34" i="7"/>
  <c r="B33" i="7"/>
  <c r="D32" i="7" s="1"/>
  <c r="D31" i="7"/>
  <c r="N30" i="7"/>
  <c r="B28" i="7"/>
  <c r="B29" i="7" s="1"/>
  <c r="D26" i="7"/>
  <c r="I24" i="7"/>
  <c r="B23" i="7"/>
  <c r="B24" i="7" s="1"/>
  <c r="T21" i="7"/>
  <c r="D21" i="7"/>
  <c r="B18" i="7"/>
  <c r="B19" i="7" s="1"/>
  <c r="D16" i="7"/>
  <c r="I14" i="7"/>
  <c r="B13" i="7"/>
  <c r="D12" i="7" s="1"/>
  <c r="D11" i="7"/>
  <c r="N10" i="7"/>
  <c r="B8" i="7"/>
  <c r="B9" i="7" s="1"/>
  <c r="D6" i="7"/>
  <c r="I4" i="7"/>
  <c r="B3" i="7"/>
  <c r="B4" i="7" s="1"/>
  <c r="D1" i="7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AK14" i="6"/>
  <c r="AJ14" i="6"/>
  <c r="AI1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AK13" i="6"/>
  <c r="AJ13" i="6"/>
  <c r="AI13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AK12" i="6"/>
  <c r="AJ12" i="6"/>
  <c r="AI12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F1" i="6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D130" i="7" l="1"/>
  <c r="E130" i="7" s="1"/>
  <c r="F128" i="7" s="1"/>
  <c r="D53" i="7"/>
  <c r="D55" i="7" s="1"/>
  <c r="E55" i="7" s="1"/>
  <c r="F57" i="7" s="1"/>
  <c r="D48" i="7"/>
  <c r="D58" i="7"/>
  <c r="D60" i="7" s="1"/>
  <c r="E60" i="7" s="1"/>
  <c r="F58" i="7" s="1"/>
  <c r="D110" i="7"/>
  <c r="E110" i="7" s="1"/>
  <c r="F108" i="7" s="1"/>
  <c r="D150" i="7"/>
  <c r="E150" i="7" s="1"/>
  <c r="F148" i="7" s="1"/>
  <c r="D27" i="7"/>
  <c r="D29" i="7" s="1"/>
  <c r="E29" i="7" s="1"/>
  <c r="F27" i="7" s="1"/>
  <c r="D7" i="7"/>
  <c r="D9" i="7" s="1"/>
  <c r="E9" i="7" s="1"/>
  <c r="F7" i="7" s="1"/>
  <c r="P24" i="8"/>
  <c r="P30" i="8" s="1"/>
  <c r="Q30" i="8" s="1"/>
  <c r="D37" i="7"/>
  <c r="D39" i="7" s="1"/>
  <c r="E39" i="7" s="1"/>
  <c r="F37" i="7" s="1"/>
  <c r="D17" i="7"/>
  <c r="D19" i="7" s="1"/>
  <c r="E19" i="7" s="1"/>
  <c r="F17" i="7" s="1"/>
  <c r="D93" i="7"/>
  <c r="D95" i="7" s="1"/>
  <c r="E95" i="7" s="1"/>
  <c r="F97" i="7" s="1"/>
  <c r="D2" i="7"/>
  <c r="D4" i="7" s="1"/>
  <c r="E4" i="7" s="1"/>
  <c r="F6" i="7" s="1"/>
  <c r="B14" i="7"/>
  <c r="D22" i="7"/>
  <c r="D24" i="7" s="1"/>
  <c r="E24" i="7" s="1"/>
  <c r="F26" i="7" s="1"/>
  <c r="B34" i="7"/>
  <c r="D43" i="7"/>
  <c r="D45" i="7" s="1"/>
  <c r="E45" i="7" s="1"/>
  <c r="F47" i="7" s="1"/>
  <c r="D50" i="7"/>
  <c r="E50" i="7" s="1"/>
  <c r="F48" i="7" s="1"/>
  <c r="D68" i="7"/>
  <c r="D70" i="7" s="1"/>
  <c r="E70" i="7" s="1"/>
  <c r="F68" i="7" s="1"/>
  <c r="D73" i="7"/>
  <c r="D75" i="7" s="1"/>
  <c r="E75" i="7" s="1"/>
  <c r="F77" i="7" s="1"/>
  <c r="D103" i="7"/>
  <c r="D105" i="7" s="1"/>
  <c r="E105" i="7" s="1"/>
  <c r="F107" i="7" s="1"/>
  <c r="D34" i="7"/>
  <c r="E34" i="7" s="1"/>
  <c r="F36" i="7" s="1"/>
  <c r="D78" i="7"/>
  <c r="D80" i="7" s="1"/>
  <c r="E80" i="7" s="1"/>
  <c r="F78" i="7" s="1"/>
  <c r="D120" i="7"/>
  <c r="E120" i="7" s="1"/>
  <c r="F118" i="7" s="1"/>
  <c r="D140" i="7"/>
  <c r="E140" i="7" s="1"/>
  <c r="F138" i="7" s="1"/>
  <c r="D160" i="7"/>
  <c r="E160" i="7" s="1"/>
  <c r="F158" i="7" s="1"/>
  <c r="D14" i="7"/>
  <c r="E14" i="7" s="1"/>
  <c r="F16" i="7" s="1"/>
  <c r="D88" i="7"/>
  <c r="D90" i="7" s="1"/>
  <c r="E90" i="7" s="1"/>
  <c r="F88" i="7" s="1"/>
  <c r="D63" i="7"/>
  <c r="D65" i="7" s="1"/>
  <c r="E65" i="7" s="1"/>
  <c r="F67" i="7" s="1"/>
  <c r="S77" i="7"/>
  <c r="B85" i="7"/>
  <c r="D83" i="7"/>
  <c r="D85" i="7" s="1"/>
  <c r="E85" i="7" s="1"/>
  <c r="F87" i="7" s="1"/>
  <c r="D98" i="7"/>
  <c r="D100" i="7" s="1"/>
  <c r="E100" i="7" s="1"/>
  <c r="F98" i="7" s="1"/>
  <c r="B110" i="7"/>
  <c r="B120" i="7"/>
  <c r="B130" i="7"/>
  <c r="B140" i="7"/>
  <c r="D143" i="7"/>
  <c r="D145" i="7" s="1"/>
  <c r="E145" i="7" s="1"/>
  <c r="F147" i="7" s="1"/>
  <c r="B150" i="7"/>
  <c r="B160" i="7"/>
  <c r="D113" i="7"/>
  <c r="D115" i="7" s="1"/>
  <c r="E115" i="7" s="1"/>
  <c r="F117" i="7" s="1"/>
  <c r="D123" i="7"/>
  <c r="D125" i="7" s="1"/>
  <c r="E125" i="7" s="1"/>
  <c r="F127" i="7" s="1"/>
  <c r="D133" i="7"/>
  <c r="D135" i="7" s="1"/>
  <c r="E135" i="7" s="1"/>
  <c r="F137" i="7" s="1"/>
  <c r="D153" i="7"/>
  <c r="D155" i="7" s="1"/>
  <c r="E155" i="7" s="1"/>
  <c r="F157" i="7" s="1"/>
  <c r="G127" i="7" l="1"/>
  <c r="I126" i="7" s="1"/>
  <c r="I128" i="7" s="1"/>
  <c r="J128" i="7" s="1"/>
  <c r="K133" i="7" s="1"/>
  <c r="G57" i="7"/>
  <c r="I56" i="7" s="1"/>
  <c r="I58" i="7" s="1"/>
  <c r="J58" i="7" s="1"/>
  <c r="K54" i="7" s="1"/>
  <c r="G147" i="7"/>
  <c r="G148" i="7" s="1"/>
  <c r="G107" i="7"/>
  <c r="G108" i="7" s="1"/>
  <c r="G26" i="7"/>
  <c r="I25" i="7" s="1"/>
  <c r="I27" i="7" s="1"/>
  <c r="J27" i="7" s="1"/>
  <c r="K32" i="7" s="1"/>
  <c r="G16" i="7"/>
  <c r="G17" i="7" s="1"/>
  <c r="G36" i="7"/>
  <c r="G37" i="7" s="1"/>
  <c r="G97" i="7"/>
  <c r="G98" i="7" s="1"/>
  <c r="G6" i="7"/>
  <c r="I5" i="7" s="1"/>
  <c r="I7" i="7" s="1"/>
  <c r="J7" i="7" s="1"/>
  <c r="K12" i="7" s="1"/>
  <c r="G117" i="7"/>
  <c r="G118" i="7" s="1"/>
  <c r="G77" i="7"/>
  <c r="G78" i="7" s="1"/>
  <c r="G157" i="7"/>
  <c r="G158" i="7" s="1"/>
  <c r="G47" i="7"/>
  <c r="I46" i="7" s="1"/>
  <c r="I48" i="7" s="1"/>
  <c r="J48" i="7" s="1"/>
  <c r="K53" i="7" s="1"/>
  <c r="G87" i="7"/>
  <c r="I86" i="7" s="1"/>
  <c r="I88" i="7" s="1"/>
  <c r="J88" i="7" s="1"/>
  <c r="K93" i="7" s="1"/>
  <c r="G137" i="7"/>
  <c r="I136" i="7" s="1"/>
  <c r="I138" i="7" s="1"/>
  <c r="J138" i="7" s="1"/>
  <c r="K134" i="7" s="1"/>
  <c r="G67" i="7"/>
  <c r="S78" i="7"/>
  <c r="G128" i="7" l="1"/>
  <c r="G58" i="7"/>
  <c r="L53" i="7"/>
  <c r="L54" i="7" s="1"/>
  <c r="I146" i="7"/>
  <c r="I148" i="7" s="1"/>
  <c r="J148" i="7" s="1"/>
  <c r="K153" i="7" s="1"/>
  <c r="I106" i="7"/>
  <c r="I108" i="7" s="1"/>
  <c r="J108" i="7" s="1"/>
  <c r="K113" i="7" s="1"/>
  <c r="G27" i="7"/>
  <c r="I15" i="7"/>
  <c r="I17" i="7" s="1"/>
  <c r="J17" i="7" s="1"/>
  <c r="K13" i="7" s="1"/>
  <c r="L12" i="7" s="1"/>
  <c r="I35" i="7"/>
  <c r="I37" i="7" s="1"/>
  <c r="J37" i="7" s="1"/>
  <c r="K33" i="7" s="1"/>
  <c r="L32" i="7" s="1"/>
  <c r="N31" i="7" s="1"/>
  <c r="N33" i="7" s="1"/>
  <c r="O33" i="7" s="1"/>
  <c r="Q24" i="7" s="1"/>
  <c r="I96" i="7"/>
  <c r="I98" i="7" s="1"/>
  <c r="J98" i="7" s="1"/>
  <c r="K94" i="7" s="1"/>
  <c r="L93" i="7" s="1"/>
  <c r="N92" i="7" s="1"/>
  <c r="N94" i="7" s="1"/>
  <c r="O94" i="7" s="1"/>
  <c r="Q103" i="7" s="1"/>
  <c r="G7" i="7"/>
  <c r="I116" i="7"/>
  <c r="I118" i="7" s="1"/>
  <c r="J118" i="7" s="1"/>
  <c r="K114" i="7" s="1"/>
  <c r="I76" i="7"/>
  <c r="I78" i="7" s="1"/>
  <c r="J78" i="7" s="1"/>
  <c r="K74" i="7" s="1"/>
  <c r="G88" i="7"/>
  <c r="I156" i="7"/>
  <c r="I158" i="7" s="1"/>
  <c r="J158" i="7" s="1"/>
  <c r="K154" i="7" s="1"/>
  <c r="G48" i="7"/>
  <c r="G138" i="7"/>
  <c r="S79" i="7"/>
  <c r="L133" i="7"/>
  <c r="G68" i="7"/>
  <c r="I66" i="7"/>
  <c r="I68" i="7" s="1"/>
  <c r="J68" i="7" s="1"/>
  <c r="K73" i="7" s="1"/>
  <c r="N52" i="7" l="1"/>
  <c r="N54" i="7" s="1"/>
  <c r="O54" i="7" s="1"/>
  <c r="Q64" i="7" s="1"/>
  <c r="L153" i="7"/>
  <c r="N152" i="7" s="1"/>
  <c r="N154" i="7" s="1"/>
  <c r="O154" i="7" s="1"/>
  <c r="Q146" i="7" s="1"/>
  <c r="L113" i="7"/>
  <c r="N112" i="7" s="1"/>
  <c r="N114" i="7" s="1"/>
  <c r="O114" i="7" s="1"/>
  <c r="Q104" i="7" s="1"/>
  <c r="R103" i="7" s="1"/>
  <c r="T102" i="7" s="1"/>
  <c r="T104" i="7" s="1"/>
  <c r="U104" i="7" s="1"/>
  <c r="W123" i="7" s="1"/>
  <c r="L73" i="7"/>
  <c r="L74" i="7" s="1"/>
  <c r="L33" i="7"/>
  <c r="L94" i="7"/>
  <c r="N132" i="7"/>
  <c r="N134" i="7" s="1"/>
  <c r="O134" i="7" s="1"/>
  <c r="Q145" i="7" s="1"/>
  <c r="L134" i="7"/>
  <c r="S80" i="7"/>
  <c r="L13" i="7"/>
  <c r="N11" i="7"/>
  <c r="N13" i="7" s="1"/>
  <c r="O13" i="7" s="1"/>
  <c r="Q23" i="7" s="1"/>
  <c r="R145" i="7" l="1"/>
  <c r="R146" i="7" s="1"/>
  <c r="L154" i="7"/>
  <c r="L114" i="7"/>
  <c r="N72" i="7"/>
  <c r="N74" i="7" s="1"/>
  <c r="O74" i="7" s="1"/>
  <c r="Q65" i="7" s="1"/>
  <c r="R64" i="7" s="1"/>
  <c r="R65" i="7" s="1"/>
  <c r="R104" i="7"/>
  <c r="S81" i="7"/>
  <c r="R23" i="7"/>
  <c r="T144" i="7" l="1"/>
  <c r="T146" i="7" s="1"/>
  <c r="U146" i="7" s="1"/>
  <c r="W124" i="7" s="1"/>
  <c r="X123" i="7" s="1"/>
  <c r="T63" i="7"/>
  <c r="T65" i="7" s="1"/>
  <c r="U65" i="7" s="1"/>
  <c r="W44" i="7" s="1"/>
  <c r="R24" i="7"/>
  <c r="T22" i="7"/>
  <c r="T24" i="7" s="1"/>
  <c r="U24" i="7" s="1"/>
  <c r="W43" i="7" s="1"/>
  <c r="S82" i="7"/>
  <c r="X43" i="7" l="1"/>
  <c r="Z42" i="7" s="1"/>
  <c r="Z44" i="7" s="1"/>
  <c r="AA44" i="7" s="1"/>
  <c r="AC85" i="7" s="1"/>
  <c r="T81" i="7"/>
  <c r="T75" i="7"/>
  <c r="T74" i="7"/>
  <c r="T76" i="7"/>
  <c r="T78" i="7"/>
  <c r="T77" i="7"/>
  <c r="T79" i="7"/>
  <c r="T80" i="7"/>
  <c r="T82" i="7"/>
  <c r="S83" i="7"/>
  <c r="Z122" i="7"/>
  <c r="Z124" i="7" s="1"/>
  <c r="AA124" i="7" s="1"/>
  <c r="AC86" i="7" s="1"/>
  <c r="X124" i="7"/>
  <c r="X44" i="7" l="1"/>
  <c r="AD85" i="7"/>
  <c r="AF84" i="7" s="1"/>
  <c r="AF86" i="7" s="1"/>
  <c r="AG86" i="7" s="1"/>
  <c r="S84" i="7"/>
  <c r="T83" i="7"/>
  <c r="AD86" i="7" l="1"/>
  <c r="S85" i="7"/>
  <c r="T84" i="7"/>
  <c r="S86" i="7" l="1"/>
  <c r="T85" i="7"/>
  <c r="S87" i="7" l="1"/>
  <c r="T86" i="7"/>
  <c r="S88" i="7" l="1"/>
  <c r="T87" i="7"/>
  <c r="S89" i="7" l="1"/>
  <c r="T89" i="7" s="1"/>
  <c r="T88" i="7"/>
  <c r="C30" i="5" l="1"/>
  <c r="D27" i="5" s="1"/>
  <c r="E5" i="5"/>
  <c r="E8" i="5"/>
  <c r="E11" i="5" s="1"/>
  <c r="F11" i="5" s="1"/>
  <c r="G8" i="5" s="1"/>
  <c r="F5" i="5" l="1"/>
  <c r="G7" i="5" s="1"/>
  <c r="H2" i="5" s="1"/>
  <c r="I8" i="5" s="1"/>
  <c r="J8" i="5" s="1"/>
  <c r="D26" i="5"/>
  <c r="D25" i="5"/>
  <c r="D28" i="5"/>
</calcChain>
</file>

<file path=xl/sharedStrings.xml><?xml version="1.0" encoding="utf-8"?>
<sst xmlns="http://schemas.openxmlformats.org/spreadsheetml/2006/main" count="1181" uniqueCount="215">
  <si>
    <t>P(A wins)</t>
  </si>
  <si>
    <t>P(B wins)</t>
  </si>
  <si>
    <t>Games</t>
  </si>
  <si>
    <t>Relative</t>
  </si>
  <si>
    <t>P(C wins)</t>
  </si>
  <si>
    <t>P(D wins)</t>
  </si>
  <si>
    <t>A</t>
  </si>
  <si>
    <t>B</t>
  </si>
  <si>
    <t>C</t>
  </si>
  <si>
    <t>D</t>
  </si>
  <si>
    <t>wins</t>
  </si>
  <si>
    <t>percent</t>
  </si>
  <si>
    <t>Overall</t>
  </si>
  <si>
    <t>tournament</t>
  </si>
  <si>
    <t>record</t>
  </si>
  <si>
    <t>of</t>
  </si>
  <si>
    <t>vs.</t>
  </si>
  <si>
    <t>(21-21)</t>
  </si>
  <si>
    <t>(38-33)</t>
  </si>
  <si>
    <t>(20-13)</t>
  </si>
  <si>
    <t>(48-22)</t>
  </si>
  <si>
    <t>(42-8)</t>
  </si>
  <si>
    <t>(11-5)</t>
  </si>
  <si>
    <t>(5-1)</t>
  </si>
  <si>
    <t>(66-16)</t>
  </si>
  <si>
    <t>(66-7)</t>
  </si>
  <si>
    <t>(6-1)</t>
  </si>
  <si>
    <t>(3-3)</t>
  </si>
  <si>
    <t>(19-0)</t>
  </si>
  <si>
    <t>(4-0)</t>
  </si>
  <si>
    <t>(0-0)</t>
  </si>
  <si>
    <t>(0-1)</t>
  </si>
  <si>
    <t>(128-0)</t>
  </si>
  <si>
    <t>seeds:</t>
  </si>
  <si>
    <t>(477-131)</t>
  </si>
  <si>
    <t>#2</t>
  </si>
  <si>
    <t>(339-145)</t>
  </si>
  <si>
    <t>Seed Historical</t>
  </si>
  <si>
    <t>#1</t>
  </si>
  <si>
    <t>(33-38)</t>
  </si>
  <si>
    <t>(2-2)</t>
  </si>
  <si>
    <t>#3</t>
  </si>
  <si>
    <t>(37-23)</t>
  </si>
  <si>
    <t>#4</t>
  </si>
  <si>
    <t>(4-5)</t>
  </si>
  <si>
    <t>#5</t>
  </si>
  <si>
    <t>(1-4)</t>
  </si>
  <si>
    <t>#6</t>
  </si>
  <si>
    <t>(26-10)</t>
  </si>
  <si>
    <t>#7</t>
  </si>
  <si>
    <t>(65-25)</t>
  </si>
  <si>
    <t>#8</t>
  </si>
  <si>
    <t>#9</t>
  </si>
  <si>
    <t>(1-1)</t>
  </si>
  <si>
    <t>#10</t>
  </si>
  <si>
    <t>(32-22)</t>
  </si>
  <si>
    <t>#11</t>
  </si>
  <si>
    <t>(13-1)</t>
  </si>
  <si>
    <t>#12</t>
  </si>
  <si>
    <t>(1-0)</t>
  </si>
  <si>
    <t>#13</t>
  </si>
  <si>
    <t>#14</t>
  </si>
  <si>
    <t>#15</t>
  </si>
  <si>
    <t>(120-9)</t>
  </si>
  <si>
    <t>#16</t>
  </si>
  <si>
    <t>(254-147)</t>
  </si>
  <si>
    <t>(13-20)</t>
  </si>
  <si>
    <t>(23-37)</t>
  </si>
  <si>
    <t>(5-3)</t>
  </si>
  <si>
    <t>(46-38)</t>
  </si>
  <si>
    <t>(9-6)</t>
  </si>
  <si>
    <t>(2-0)</t>
  </si>
  <si>
    <t>(9-4)</t>
  </si>
  <si>
    <t>(34-14)</t>
  </si>
  <si>
    <t>(107-21)</t>
  </si>
  <si>
    <t>(219-150)</t>
  </si>
  <si>
    <t>(22-48)</t>
  </si>
  <si>
    <t>(5-4)</t>
  </si>
  <si>
    <t>(3-5)</t>
  </si>
  <si>
    <t>(49-40)</t>
  </si>
  <si>
    <t>(2-4)</t>
  </si>
  <si>
    <t>(2-3)</t>
  </si>
  <si>
    <t>(3-7)</t>
  </si>
  <si>
    <t>(2-1)</t>
  </si>
  <si>
    <t>(26-12)</t>
  </si>
  <si>
    <t>(102-25)</t>
  </si>
  <si>
    <t>(170-152)</t>
  </si>
  <si>
    <t>(8-42)</t>
  </si>
  <si>
    <t>(4-1)</t>
  </si>
  <si>
    <t>(40-49)</t>
  </si>
  <si>
    <t>(1-3)</t>
  </si>
  <si>
    <t>(1-2)</t>
  </si>
  <si>
    <t>(99-49)</t>
  </si>
  <si>
    <t>(12-3)</t>
  </si>
  <si>
    <t>(179-150)</t>
  </si>
  <si>
    <t>(5-11)</t>
  </si>
  <si>
    <t>(10-26)</t>
  </si>
  <si>
    <t>(38-46)</t>
  </si>
  <si>
    <t>(4-2)</t>
  </si>
  <si>
    <t>(6-4)</t>
  </si>
  <si>
    <t>(96-52)</t>
  </si>
  <si>
    <t>(14-2)</t>
  </si>
  <si>
    <t>(134-151)</t>
  </si>
  <si>
    <t>(1-5)</t>
  </si>
  <si>
    <t>(25-65)</t>
  </si>
  <si>
    <t>(6-9)</t>
  </si>
  <si>
    <t>(3-2)</t>
  </si>
  <si>
    <t>(92-60)</t>
  </si>
  <si>
    <t>(0-3)</t>
  </si>
  <si>
    <t>(117-151)</t>
  </si>
  <si>
    <t>(16-66)</t>
  </si>
  <si>
    <t>(0-2)</t>
  </si>
  <si>
    <t>(7-3)</t>
  </si>
  <si>
    <t>(3-1)</t>
  </si>
  <si>
    <t>(80-72)</t>
  </si>
  <si>
    <t>(85-152)</t>
  </si>
  <si>
    <t>(7-66)</t>
  </si>
  <si>
    <t>(72-80)</t>
  </si>
  <si>
    <t>(98-152)</t>
  </si>
  <si>
    <t>(1-6)</t>
  </si>
  <si>
    <t>(22-32)</t>
  </si>
  <si>
    <t>(4-9)</t>
  </si>
  <si>
    <t>(4-6)</t>
  </si>
  <si>
    <t>(60-92)</t>
  </si>
  <si>
    <t>(80-148)</t>
  </si>
  <si>
    <t>(1-13)</t>
  </si>
  <si>
    <t>(14-34)</t>
  </si>
  <si>
    <t>(52-96)</t>
  </si>
  <si>
    <t>(3-0)</t>
  </si>
  <si>
    <t>(5-0)</t>
  </si>
  <si>
    <t>(70-148)</t>
  </si>
  <si>
    <t>(0-19)</t>
  </si>
  <si>
    <t>(12-26)</t>
  </si>
  <si>
    <t>(49-99)</t>
  </si>
  <si>
    <t>(8-3)</t>
  </si>
  <si>
    <t>(31-128)</t>
  </si>
  <si>
    <t>(0-4)</t>
  </si>
  <si>
    <t>(25-102)</t>
  </si>
  <si>
    <t>(3-12)</t>
  </si>
  <si>
    <t>(3-8)</t>
  </si>
  <si>
    <t>(23-128)</t>
  </si>
  <si>
    <t>(21-107)</t>
  </si>
  <si>
    <t>(2-14)</t>
  </si>
  <si>
    <t>(0-5)</t>
  </si>
  <si>
    <t>(13-128)</t>
  </si>
  <si>
    <t>(9-120)</t>
  </si>
  <si>
    <t>(0-128)</t>
  </si>
  <si>
    <t xml:space="preserve">Game  </t>
  </si>
  <si>
    <t xml:space="preserve"> </t>
  </si>
  <si>
    <t xml:space="preserve">  </t>
  </si>
  <si>
    <t xml:space="preserve">Note: </t>
  </si>
  <si>
    <t xml:space="preserve">Relative  </t>
  </si>
  <si>
    <t>Games needed to win</t>
  </si>
  <si>
    <t>team spending money</t>
  </si>
  <si>
    <t>graph the 16 percentages - exponential</t>
  </si>
  <si>
    <t>n</t>
  </si>
  <si>
    <t>seed</t>
  </si>
  <si>
    <t>game wins</t>
  </si>
  <si>
    <t>Total wins</t>
  </si>
  <si>
    <t>wins/team/tourney</t>
  </si>
  <si>
    <t>NCAA</t>
  </si>
  <si>
    <t>SEED</t>
  </si>
  <si>
    <t>Round 2</t>
  </si>
  <si>
    <t>Round 1</t>
  </si>
  <si>
    <t>Winner</t>
  </si>
  <si>
    <t xml:space="preserve">A wins </t>
  </si>
  <si>
    <t xml:space="preserve">C wins </t>
  </si>
  <si>
    <t>Team</t>
  </si>
  <si>
    <t>Percentage</t>
  </si>
  <si>
    <t>Games Played</t>
  </si>
  <si>
    <t>Round 3</t>
  </si>
  <si>
    <t>Champion</t>
  </si>
  <si>
    <t>Prob. of Winning</t>
  </si>
  <si>
    <t>Round 4</t>
  </si>
  <si>
    <t>Atlanta Hawks</t>
  </si>
  <si>
    <t>Boston Celtics</t>
  </si>
  <si>
    <t>Brooklyn Nets</t>
  </si>
  <si>
    <t>Charlotte Hornets</t>
  </si>
  <si>
    <t>Chicago Bulls</t>
  </si>
  <si>
    <t>Cleveland Cavaliers</t>
  </si>
  <si>
    <t>Dallas Mavericks</t>
  </si>
  <si>
    <t>Denver Nuggets</t>
  </si>
  <si>
    <t>Detroit Pistons</t>
  </si>
  <si>
    <t>Golden State Warriors</t>
  </si>
  <si>
    <t>Houston Rockets</t>
  </si>
  <si>
    <t>Indiana Pacers</t>
  </si>
  <si>
    <t>Los Angeles Clippers</t>
  </si>
  <si>
    <t>Los Angeles Lakers</t>
  </si>
  <si>
    <t>Memphis Grizzlies</t>
  </si>
  <si>
    <t>Miami Heat</t>
  </si>
  <si>
    <t>Milwaukee Bucks</t>
  </si>
  <si>
    <t>Minnesota Timberwolves</t>
  </si>
  <si>
    <t>New Orleans Pelicans</t>
  </si>
  <si>
    <t>New York Knicks</t>
  </si>
  <si>
    <t>Oklahoma City Thunder</t>
  </si>
  <si>
    <t>Orlando Magic</t>
  </si>
  <si>
    <t>Philadelphia 76ers</t>
  </si>
  <si>
    <t>Phoenix Suns</t>
  </si>
  <si>
    <t>Portland Trail Blazers</t>
  </si>
  <si>
    <t>Sacramento Kings</t>
  </si>
  <si>
    <t>San Antonio Spurs</t>
  </si>
  <si>
    <t>Toronto Raptors</t>
  </si>
  <si>
    <t>Utah Jazz</t>
  </si>
  <si>
    <t>Washington Wizards</t>
  </si>
  <si>
    <t>W</t>
  </si>
  <si>
    <t>pred_wins</t>
  </si>
  <si>
    <t>Predicted W</t>
  </si>
  <si>
    <t>Predicted L</t>
  </si>
  <si>
    <t>East</t>
  </si>
  <si>
    <t>playoff teams denoted by box</t>
  </si>
  <si>
    <t>West</t>
  </si>
  <si>
    <t>E</t>
  </si>
  <si>
    <t>&lt;- rel prob of a beating b</t>
  </si>
  <si>
    <t>#games in series:</t>
  </si>
  <si>
    <t>Click on the smiley face to run a custom # of 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</si>
</sst>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 Unicode MS"/>
      <family val="2"/>
    </font>
    <font>
      <sz val="10"/>
      <color theme="1"/>
      <name val="Arial Unicode M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7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164" fontId="0" fillId="2" borderId="0" xfId="1" applyNumberFormat="1" applyFont="1" applyFill="1"/>
    <xf numFmtId="0" fontId="1" fillId="2" borderId="0" xfId="0" applyFont="1" applyFill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0" fontId="0" fillId="0" borderId="0" xfId="0" applyNumberFormat="1"/>
    <xf numFmtId="0" fontId="0" fillId="0" borderId="1" xfId="0" applyBorder="1"/>
    <xf numFmtId="0" fontId="0" fillId="0" borderId="0" xfId="0" applyAlignment="1">
      <alignment vertical="center"/>
    </xf>
    <xf numFmtId="0" fontId="4" fillId="0" borderId="0" xfId="0" applyFont="1"/>
    <xf numFmtId="0" fontId="1" fillId="0" borderId="0" xfId="0" applyFon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4" borderId="0" xfId="0" applyFill="1"/>
    <xf numFmtId="164" fontId="0" fillId="0" borderId="0" xfId="1" applyNumberFormat="1" applyFont="1"/>
    <xf numFmtId="0" fontId="0" fillId="0" borderId="0" xfId="0" applyAlignment="1">
      <alignment horizontal="right"/>
    </xf>
    <xf numFmtId="165" fontId="0" fillId="4" borderId="0" xfId="0" applyNumberFormat="1" applyFill="1"/>
    <xf numFmtId="164" fontId="0" fillId="0" borderId="0" xfId="1" applyNumberFormat="1" applyFont="1" applyFill="1"/>
    <xf numFmtId="0" fontId="0" fillId="0" borderId="2" xfId="0" applyBorder="1"/>
    <xf numFmtId="0" fontId="0" fillId="0" borderId="3" xfId="0" applyBorder="1"/>
    <xf numFmtId="0" fontId="0" fillId="4" borderId="4" xfId="0" applyFill="1" applyBorder="1"/>
    <xf numFmtId="0" fontId="0" fillId="0" borderId="5" xfId="0" applyBorder="1"/>
    <xf numFmtId="0" fontId="0" fillId="0" borderId="0" xfId="0" applyBorder="1"/>
    <xf numFmtId="164" fontId="0" fillId="0" borderId="6" xfId="1" applyNumberFormat="1" applyFont="1" applyBorder="1"/>
    <xf numFmtId="165" fontId="0" fillId="4" borderId="5" xfId="0" applyNumberFormat="1" applyFill="1" applyBorder="1"/>
    <xf numFmtId="0" fontId="0" fillId="0" borderId="6" xfId="0" applyBorder="1" applyAlignment="1">
      <alignment horizontal="right"/>
    </xf>
    <xf numFmtId="165" fontId="0" fillId="4" borderId="7" xfId="0" applyNumberFormat="1" applyFill="1" applyBorder="1"/>
    <xf numFmtId="0" fontId="0" fillId="0" borderId="8" xfId="0" applyBorder="1"/>
    <xf numFmtId="0" fontId="0" fillId="0" borderId="9" xfId="0" applyBorder="1"/>
    <xf numFmtId="165" fontId="0" fillId="0" borderId="2" xfId="0" applyNumberFormat="1" applyBorder="1"/>
    <xf numFmtId="165" fontId="0" fillId="0" borderId="5" xfId="0" applyNumberFormat="1" applyBorder="1"/>
    <xf numFmtId="0" fontId="0" fillId="0" borderId="6" xfId="0" applyBorder="1"/>
    <xf numFmtId="0" fontId="0" fillId="0" borderId="7" xfId="0" applyBorder="1"/>
    <xf numFmtId="164" fontId="0" fillId="3" borderId="6" xfId="1" applyNumberFormat="1" applyFont="1" applyFill="1" applyBorder="1"/>
    <xf numFmtId="0" fontId="0" fillId="0" borderId="0" xfId="0" applyFill="1" applyBorder="1"/>
    <xf numFmtId="0" fontId="1" fillId="0" borderId="0" xfId="0" applyFont="1" applyFill="1" applyBorder="1"/>
    <xf numFmtId="165" fontId="0" fillId="0" borderId="0" xfId="0" applyNumberFormat="1" applyFill="1"/>
    <xf numFmtId="165" fontId="0" fillId="0" borderId="5" xfId="0" applyNumberFormat="1" applyFill="1" applyBorder="1"/>
    <xf numFmtId="0" fontId="1" fillId="0" borderId="0" xfId="0" applyFont="1" applyFill="1"/>
    <xf numFmtId="9" fontId="0" fillId="3" borderId="6" xfId="1" applyFont="1" applyFill="1" applyBorder="1"/>
    <xf numFmtId="9" fontId="0" fillId="0" borderId="0" xfId="1" applyFont="1"/>
    <xf numFmtId="0" fontId="0" fillId="0" borderId="0" xfId="0" applyFont="1" applyFill="1"/>
    <xf numFmtId="165" fontId="0" fillId="0" borderId="4" xfId="0" applyNumberFormat="1" applyBorder="1"/>
    <xf numFmtId="165" fontId="0" fillId="0" borderId="6" xfId="0" applyNumberFormat="1" applyBorder="1"/>
    <xf numFmtId="165" fontId="0" fillId="0" borderId="9" xfId="0" applyNumberFormat="1" applyBorder="1"/>
    <xf numFmtId="0" fontId="0" fillId="6" borderId="0" xfId="0" applyFill="1" applyBorder="1"/>
    <xf numFmtId="165" fontId="0" fillId="6" borderId="0" xfId="0" applyNumberFormat="1" applyFill="1" applyBorder="1"/>
    <xf numFmtId="0" fontId="0" fillId="7" borderId="0" xfId="0" applyFill="1"/>
    <xf numFmtId="165" fontId="0" fillId="7" borderId="0" xfId="0" applyNumberFormat="1" applyFill="1"/>
    <xf numFmtId="0" fontId="0" fillId="0" borderId="0" xfId="0" applyBorder="1" applyAlignment="1"/>
    <xf numFmtId="0" fontId="0" fillId="6" borderId="0" xfId="0" applyFill="1" applyAlignment="1">
      <alignment horizontal="center"/>
    </xf>
    <xf numFmtId="0" fontId="0" fillId="0" borderId="5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7" borderId="0" xfId="0" applyFill="1" applyAlignment="1">
      <alignment horizontal="center"/>
    </xf>
    <xf numFmtId="0" fontId="0" fillId="0" borderId="4" xfId="0" applyBorder="1"/>
    <xf numFmtId="165" fontId="0" fillId="0" borderId="0" xfId="0" applyNumberFormat="1" applyBorder="1"/>
    <xf numFmtId="0" fontId="1" fillId="0" borderId="0" xfId="0" applyFont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165" fontId="0" fillId="0" borderId="3" xfId="0" applyNumberFormat="1" applyFill="1" applyBorder="1"/>
    <xf numFmtId="0" fontId="0" fillId="0" borderId="8" xfId="0" applyFill="1" applyBorder="1"/>
    <xf numFmtId="165" fontId="0" fillId="0" borderId="7" xfId="0" applyNumberFormat="1" applyFill="1" applyBorder="1"/>
    <xf numFmtId="165" fontId="0" fillId="0" borderId="0" xfId="0" applyNumberFormat="1" applyFill="1" applyBorder="1"/>
    <xf numFmtId="0" fontId="0" fillId="0" borderId="10" xfId="0" applyBorder="1"/>
    <xf numFmtId="165" fontId="0" fillId="4" borderId="11" xfId="0" applyNumberFormat="1" applyFill="1" applyBorder="1"/>
    <xf numFmtId="165" fontId="0" fillId="0" borderId="8" xfId="0" applyNumberFormat="1" applyFill="1" applyBorder="1"/>
    <xf numFmtId="0" fontId="1" fillId="0" borderId="8" xfId="0" applyFont="1" applyFill="1" applyBorder="1" applyAlignment="1">
      <alignment horizontal="center"/>
    </xf>
    <xf numFmtId="0" fontId="1" fillId="5" borderId="5" xfId="0" applyFont="1" applyFill="1" applyBorder="1"/>
    <xf numFmtId="0" fontId="1" fillId="5" borderId="0" xfId="0" applyFont="1" applyFill="1" applyBorder="1"/>
    <xf numFmtId="0" fontId="1" fillId="5" borderId="0" xfId="0" applyFont="1" applyFill="1" applyBorder="1" applyAlignment="1">
      <alignment horizontal="center"/>
    </xf>
    <xf numFmtId="165" fontId="1" fillId="5" borderId="0" xfId="0" applyNumberFormat="1" applyFont="1" applyFill="1" applyBorder="1" applyAlignment="1">
      <alignment horizontal="center"/>
    </xf>
    <xf numFmtId="165" fontId="1" fillId="4" borderId="0" xfId="0" applyNumberFormat="1" applyFont="1" applyFill="1" applyBorder="1" applyAlignment="1">
      <alignment horizontal="center"/>
    </xf>
    <xf numFmtId="164" fontId="0" fillId="0" borderId="9" xfId="1" applyNumberFormat="1" applyFont="1" applyFill="1" applyBorder="1"/>
    <xf numFmtId="0" fontId="1" fillId="0" borderId="5" xfId="0" applyFont="1" applyFill="1" applyBorder="1"/>
    <xf numFmtId="0" fontId="0" fillId="0" borderId="12" xfId="0" applyBorder="1"/>
    <xf numFmtId="0" fontId="0" fillId="0" borderId="13" xfId="0" applyBorder="1"/>
    <xf numFmtId="0" fontId="0" fillId="0" borderId="0" xfId="0" applyAlignment="1">
      <alignment horizontal="center" wrapText="1"/>
    </xf>
    <xf numFmtId="0" fontId="1" fillId="0" borderId="2" xfId="0" applyFont="1" applyBorder="1"/>
    <xf numFmtId="0" fontId="1" fillId="0" borderId="5" xfId="0" applyFont="1" applyBorder="1"/>
    <xf numFmtId="0" fontId="1" fillId="0" borderId="7" xfId="0" applyFont="1" applyBorder="1"/>
    <xf numFmtId="165" fontId="0" fillId="0" borderId="2" xfId="0" applyNumberFormat="1" applyFill="1" applyBorder="1"/>
    <xf numFmtId="165" fontId="1" fillId="0" borderId="0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Title % by Seed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'NCAA Sim'!$AG$87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'NCAA Sim'!$AF$88:$AF$103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'NCAA Sim'!$AG$88:$AG$103</c:f>
              <c:numCache>
                <c:formatCode>General</c:formatCode>
                <c:ptCount val="16"/>
                <c:pt idx="0">
                  <c:v>0.52100000000000002</c:v>
                </c:pt>
                <c:pt idx="1">
                  <c:v>0.21299999999999999</c:v>
                </c:pt>
                <c:pt idx="2">
                  <c:v>9.9000000000000005E-2</c:v>
                </c:pt>
                <c:pt idx="3">
                  <c:v>5.5E-2</c:v>
                </c:pt>
                <c:pt idx="4">
                  <c:v>3.5999999999999997E-2</c:v>
                </c:pt>
                <c:pt idx="5">
                  <c:v>2.5999999999999999E-2</c:v>
                </c:pt>
                <c:pt idx="6">
                  <c:v>8.9999999999999993E-3</c:v>
                </c:pt>
                <c:pt idx="7">
                  <c:v>7.0000000000000001E-3</c:v>
                </c:pt>
                <c:pt idx="8">
                  <c:v>3.0000000000000001E-3</c:v>
                </c:pt>
                <c:pt idx="9">
                  <c:v>2E-3</c:v>
                </c:pt>
                <c:pt idx="10">
                  <c:v>8.0000000000000002E-3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2.1000000000000001E-2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19-4A44-AF76-0A26B51F45F3}"/>
            </c:ext>
          </c:extLst>
        </c:ser>
        <c:ser>
          <c:idx val="1"/>
          <c:order val="1"/>
          <c:tx>
            <c:strRef>
              <c:f>'NCAA Sim'!$AH$87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'NCAA Sim'!$AF$88:$AF$103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'NCAA Sim'!$AH$88:$AH$103</c:f>
              <c:numCache>
                <c:formatCode>General</c:formatCode>
                <c:ptCount val="16"/>
                <c:pt idx="0">
                  <c:v>0.64600000000000002</c:v>
                </c:pt>
                <c:pt idx="1">
                  <c:v>0.221</c:v>
                </c:pt>
                <c:pt idx="2">
                  <c:v>6.4000000000000001E-2</c:v>
                </c:pt>
                <c:pt idx="3">
                  <c:v>3.4000000000000002E-2</c:v>
                </c:pt>
                <c:pt idx="4">
                  <c:v>1.2999999999999999E-2</c:v>
                </c:pt>
                <c:pt idx="5">
                  <c:v>7.0000000000000001E-3</c:v>
                </c:pt>
                <c:pt idx="6">
                  <c:v>1E-3</c:v>
                </c:pt>
                <c:pt idx="7">
                  <c:v>4.0000000000000001E-3</c:v>
                </c:pt>
                <c:pt idx="8">
                  <c:v>0</c:v>
                </c:pt>
                <c:pt idx="9">
                  <c:v>0</c:v>
                </c:pt>
                <c:pt idx="10">
                  <c:v>6.0000000000000001E-3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4.0000000000000001E-3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19-4A44-AF76-0A26B51F45F3}"/>
            </c:ext>
          </c:extLst>
        </c:ser>
        <c:ser>
          <c:idx val="2"/>
          <c:order val="2"/>
          <c:tx>
            <c:strRef>
              <c:f>'NCAA Sim'!$AI$87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'NCAA Sim'!$AF$88:$AF$103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'NCAA Sim'!$AI$88:$AI$103</c:f>
              <c:numCache>
                <c:formatCode>General</c:formatCode>
                <c:ptCount val="16"/>
                <c:pt idx="0" formatCode="0.000000">
                  <c:v>0.67800000000000005</c:v>
                </c:pt>
                <c:pt idx="1">
                  <c:v>0.23799999999999999</c:v>
                </c:pt>
                <c:pt idx="2">
                  <c:v>0.05</c:v>
                </c:pt>
                <c:pt idx="3">
                  <c:v>2.1000000000000001E-2</c:v>
                </c:pt>
                <c:pt idx="4">
                  <c:v>6.0000000000000001E-3</c:v>
                </c:pt>
                <c:pt idx="5">
                  <c:v>5.0000000000000001E-3</c:v>
                </c:pt>
                <c:pt idx="6">
                  <c:v>0</c:v>
                </c:pt>
                <c:pt idx="7">
                  <c:v>1E-3</c:v>
                </c:pt>
                <c:pt idx="8">
                  <c:v>0</c:v>
                </c:pt>
                <c:pt idx="9">
                  <c:v>0</c:v>
                </c:pt>
                <c:pt idx="10">
                  <c:v>1E-3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19-4A44-AF76-0A26B51F45F3}"/>
            </c:ext>
          </c:extLst>
        </c:ser>
        <c:ser>
          <c:idx val="3"/>
          <c:order val="3"/>
          <c:tx>
            <c:strRef>
              <c:f>'NCAA Sim'!$AJ$87</c:f>
              <c:strCache>
                <c:ptCount val="1"/>
                <c:pt idx="0">
                  <c:v>7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'NCAA Sim'!$AF$88:$AF$103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cat>
          <c:val>
            <c:numRef>
              <c:f>'NCAA Sim'!$AJ$88:$AJ$103</c:f>
              <c:numCache>
                <c:formatCode>General</c:formatCode>
                <c:ptCount val="16"/>
                <c:pt idx="0">
                  <c:v>0.70099999999999996</c:v>
                </c:pt>
                <c:pt idx="1">
                  <c:v>0.245</c:v>
                </c:pt>
                <c:pt idx="2">
                  <c:v>0.03</c:v>
                </c:pt>
                <c:pt idx="3">
                  <c:v>1.7000000000000001E-2</c:v>
                </c:pt>
                <c:pt idx="4">
                  <c:v>0</c:v>
                </c:pt>
                <c:pt idx="5">
                  <c:v>4.0000000000000001E-3</c:v>
                </c:pt>
                <c:pt idx="6">
                  <c:v>0</c:v>
                </c:pt>
                <c:pt idx="7">
                  <c:v>2E-3</c:v>
                </c:pt>
                <c:pt idx="8">
                  <c:v>0</c:v>
                </c:pt>
                <c:pt idx="9">
                  <c:v>0</c:v>
                </c:pt>
                <c:pt idx="10">
                  <c:v>1E-3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19-4A44-AF76-0A26B51F4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168064"/>
        <c:axId val="252169600"/>
      </c:barChart>
      <c:catAx>
        <c:axId val="25216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169600"/>
        <c:crosses val="autoZero"/>
        <c:auto val="1"/>
        <c:lblAlgn val="ctr"/>
        <c:lblOffset val="100"/>
        <c:noMultiLvlLbl val="0"/>
      </c:catAx>
      <c:valAx>
        <c:axId val="25216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16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14</xdr:row>
      <xdr:rowOff>60960</xdr:rowOff>
    </xdr:from>
    <xdr:to>
      <xdr:col>5</xdr:col>
      <xdr:colOff>586740</xdr:colOff>
      <xdr:row>17</xdr:row>
      <xdr:rowOff>152400</xdr:rowOff>
    </xdr:to>
    <xdr:sp macro="[0]!Macro1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56560" y="2255520"/>
          <a:ext cx="967740" cy="64008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361709</xdr:colOff>
      <xdr:row>52</xdr:row>
      <xdr:rowOff>48229</xdr:rowOff>
    </xdr:from>
    <xdr:to>
      <xdr:col>5</xdr:col>
      <xdr:colOff>377786</xdr:colOff>
      <xdr:row>59</xdr:row>
      <xdr:rowOff>24115</xdr:rowOff>
    </xdr:to>
    <xdr:sp macro="[0]!Macro1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573608" y="9934938"/>
          <a:ext cx="1527216" cy="12700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182671</xdr:colOff>
      <xdr:row>75</xdr:row>
      <xdr:rowOff>156576</xdr:rowOff>
    </xdr:from>
    <xdr:to>
      <xdr:col>26</xdr:col>
      <xdr:colOff>600206</xdr:colOff>
      <xdr:row>83</xdr:row>
      <xdr:rowOff>91335</xdr:rowOff>
    </xdr:to>
    <xdr:sp macro="[2]!Macro1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5521731" y="13872576"/>
          <a:ext cx="1636735" cy="1397799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333375</xdr:colOff>
      <xdr:row>11</xdr:row>
      <xdr:rowOff>0</xdr:rowOff>
    </xdr:from>
    <xdr:to>
      <xdr:col>28</xdr:col>
      <xdr:colOff>206375</xdr:colOff>
      <xdr:row>27</xdr:row>
      <xdr:rowOff>15875</xdr:rowOff>
    </xdr:to>
    <xdr:sp macro="[2]!NCAASim1357" textlink="">
      <xdr:nvSpPr>
        <xdr:cNvPr id="3" name="12-Point Star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062835" y="2011680"/>
          <a:ext cx="2921000" cy="2941955"/>
        </a:xfrm>
        <a:prstGeom prst="star1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372534</xdr:colOff>
      <xdr:row>104</xdr:row>
      <xdr:rowOff>93134</xdr:rowOff>
    </xdr:from>
    <xdr:to>
      <xdr:col>45</xdr:col>
      <xdr:colOff>538692</xdr:colOff>
      <xdr:row>128</xdr:row>
      <xdr:rowOff>173566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bishop/Desktop/Old%20Laptop/Spring%202021/_Sports/2020_Bracket_vlookup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bishop/Desktop/Old%20Laptop/Spring%202021/_Sports/2019_Bracke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bishop.CAMPUS2000/AppData/Local/Microsoft/Windows/Temporary%20Internet%20Files/Content.Outlook/334OQ54F/2017-03-27%20Matt%20Simulations%201357%2010%20year%20AVG%20MLB%20Seed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W"/>
      <sheetName val="Simulation 4"/>
      <sheetName val="Simulation 8"/>
      <sheetName val="Perfect_Bracket"/>
      <sheetName val="Double_Elim"/>
    </sheetNames>
    <sheetDataSet>
      <sheetData sheetId="0"/>
      <sheetData sheetId="1">
        <row r="23">
          <cell r="B23" t="str">
            <v>A</v>
          </cell>
        </row>
      </sheetData>
      <sheetData sheetId="2"/>
      <sheetData sheetId="3"/>
      <sheetData sheetId="4">
        <row r="23">
          <cell r="G23">
            <v>1</v>
          </cell>
          <cell r="H23">
            <v>0.7</v>
          </cell>
        </row>
        <row r="24">
          <cell r="G24">
            <v>2</v>
          </cell>
          <cell r="H24">
            <v>0.5</v>
          </cell>
        </row>
        <row r="25">
          <cell r="G25">
            <v>3</v>
          </cell>
          <cell r="H25">
            <v>0.57999999999999996</v>
          </cell>
        </row>
        <row r="26">
          <cell r="G26">
            <v>4</v>
          </cell>
          <cell r="H26">
            <v>0.57999999999999996</v>
          </cell>
        </row>
        <row r="28">
          <cell r="H28">
            <v>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gle"/>
      <sheetName val="Multi"/>
      <sheetName val="DoubleElim"/>
      <sheetName val="Results"/>
      <sheetName val="SingleJim"/>
      <sheetName val="NCAA Data"/>
      <sheetName val="NCAA Sim"/>
      <sheetName val="NCAAM Financial Data"/>
      <sheetName val="10 Year Exp AVG"/>
      <sheetName val="Regr_10yr"/>
      <sheetName val="win units 10yr"/>
      <sheetName val="NCAA win prob"/>
      <sheetName val="NBA Data"/>
      <sheetName val="NBA Sim"/>
      <sheetName val="NBA Financial Data"/>
      <sheetName val="NBA win prob"/>
      <sheetName val="MLB Data"/>
      <sheetName val="MLB Data 2"/>
      <sheetName val="MLB Sim"/>
      <sheetName val="MLB Financial Data"/>
      <sheetName val="exp vs units"/>
      <sheetName val="win units"/>
      <sheetName val="MLB win prob"/>
      <sheetName val="NCAAW Data"/>
      <sheetName val="NCAAW Sim"/>
      <sheetName val="NCAAW win prob"/>
      <sheetName val="2019_Bracket"/>
    </sheetNames>
    <definedNames>
      <definedName name="Macro1"/>
      <definedName name="NCAASim1357"/>
    </definedNames>
    <sheetDataSet>
      <sheetData sheetId="0"/>
      <sheetData sheetId="1"/>
      <sheetData sheetId="2"/>
      <sheetData sheetId="3">
        <row r="2">
          <cell r="A2" t="str">
            <v>1E</v>
          </cell>
          <cell r="B2">
            <v>0.82352941176470584</v>
          </cell>
        </row>
        <row r="3">
          <cell r="A3" t="str">
            <v>2E</v>
          </cell>
          <cell r="B3">
            <v>0.84375</v>
          </cell>
        </row>
        <row r="4">
          <cell r="A4" t="str">
            <v>3E</v>
          </cell>
          <cell r="B4">
            <v>0.76470588235294112</v>
          </cell>
        </row>
        <row r="5">
          <cell r="A5" t="str">
            <v>4E</v>
          </cell>
          <cell r="B5">
            <v>0.75757575757575757</v>
          </cell>
        </row>
        <row r="6">
          <cell r="A6" t="str">
            <v>5E</v>
          </cell>
          <cell r="B6">
            <v>0.78125</v>
          </cell>
        </row>
        <row r="7">
          <cell r="A7" t="str">
            <v>6E</v>
          </cell>
          <cell r="B7">
            <v>0.65625</v>
          </cell>
        </row>
        <row r="8">
          <cell r="A8" t="str">
            <v>7E</v>
          </cell>
          <cell r="B8">
            <v>0.625</v>
          </cell>
        </row>
        <row r="9">
          <cell r="A9" t="str">
            <v>8E</v>
          </cell>
          <cell r="B9">
            <v>0.63636363636363635</v>
          </cell>
        </row>
        <row r="10">
          <cell r="A10" t="str">
            <v>9E</v>
          </cell>
          <cell r="B10">
            <v>0.69696969696969702</v>
          </cell>
        </row>
        <row r="11">
          <cell r="A11" t="str">
            <v>10E</v>
          </cell>
          <cell r="B11">
            <v>0.65625</v>
          </cell>
        </row>
        <row r="12">
          <cell r="A12" t="str">
            <v>11E</v>
          </cell>
          <cell r="B12">
            <v>0.6470588235294118</v>
          </cell>
        </row>
        <row r="13">
          <cell r="A13" t="str">
            <v>12E</v>
          </cell>
          <cell r="B13">
            <v>0.8529411764705882</v>
          </cell>
        </row>
        <row r="14">
          <cell r="A14" t="str">
            <v>13E</v>
          </cell>
          <cell r="B14">
            <v>0.8125</v>
          </cell>
        </row>
        <row r="15">
          <cell r="A15" t="str">
            <v>14E</v>
          </cell>
          <cell r="B15">
            <v>0.84375</v>
          </cell>
        </row>
        <row r="16">
          <cell r="A16" t="str">
            <v>15E</v>
          </cell>
          <cell r="B16">
            <v>0.76470588235294112</v>
          </cell>
        </row>
        <row r="17">
          <cell r="A17" t="str">
            <v>16E</v>
          </cell>
          <cell r="B17">
            <v>0.60606060606060608</v>
          </cell>
        </row>
        <row r="18">
          <cell r="A18" t="str">
            <v>1W</v>
          </cell>
          <cell r="B18">
            <v>0.82352941176470584</v>
          </cell>
        </row>
        <row r="19">
          <cell r="A19" t="str">
            <v>2W</v>
          </cell>
          <cell r="B19">
            <v>0.78125</v>
          </cell>
        </row>
        <row r="20">
          <cell r="A20" t="str">
            <v>3W</v>
          </cell>
          <cell r="B20">
            <v>0.78787878787878785</v>
          </cell>
        </row>
        <row r="21">
          <cell r="A21" t="str">
            <v>4W</v>
          </cell>
          <cell r="B21">
            <v>0.69696969696969702</v>
          </cell>
        </row>
        <row r="22">
          <cell r="A22" t="str">
            <v>5W</v>
          </cell>
          <cell r="B22">
            <v>0.66666666666666663</v>
          </cell>
        </row>
        <row r="23">
          <cell r="A23" t="str">
            <v>6W</v>
          </cell>
          <cell r="B23">
            <v>0.625</v>
          </cell>
        </row>
        <row r="24">
          <cell r="A24" t="str">
            <v>7W</v>
          </cell>
          <cell r="B24">
            <v>0.61290322580645162</v>
          </cell>
        </row>
        <row r="25">
          <cell r="A25" t="str">
            <v>8W</v>
          </cell>
          <cell r="B25">
            <v>0.78787878787878785</v>
          </cell>
        </row>
        <row r="26">
          <cell r="A26" t="str">
            <v>9W</v>
          </cell>
          <cell r="B26">
            <v>0.6875</v>
          </cell>
        </row>
        <row r="27">
          <cell r="A27" t="str">
            <v>10W</v>
          </cell>
          <cell r="B27">
            <v>0.72727272727272729</v>
          </cell>
        </row>
        <row r="28">
          <cell r="A28" t="str">
            <v>11W</v>
          </cell>
          <cell r="B28">
            <v>0.6470588235294118</v>
          </cell>
        </row>
        <row r="29">
          <cell r="A29" t="str">
            <v>12W</v>
          </cell>
          <cell r="B29">
            <v>0.7857142857142857</v>
          </cell>
        </row>
        <row r="30">
          <cell r="A30" t="str">
            <v>13W</v>
          </cell>
          <cell r="B30">
            <v>0.78125</v>
          </cell>
        </row>
        <row r="31">
          <cell r="A31" t="str">
            <v>14W</v>
          </cell>
          <cell r="B31">
            <v>0.65714285714285714</v>
          </cell>
        </row>
        <row r="32">
          <cell r="A32" t="str">
            <v>15W</v>
          </cell>
          <cell r="B32">
            <v>0.75</v>
          </cell>
        </row>
        <row r="33">
          <cell r="A33" t="str">
            <v>16W</v>
          </cell>
          <cell r="B33">
            <v>0.42424242424242425</v>
          </cell>
        </row>
        <row r="34">
          <cell r="A34" t="str">
            <v>1S</v>
          </cell>
          <cell r="B34">
            <v>0.88235294117647056</v>
          </cell>
        </row>
        <row r="35">
          <cell r="A35" t="str">
            <v>2S</v>
          </cell>
          <cell r="B35">
            <v>0.8529411764705882</v>
          </cell>
        </row>
        <row r="36">
          <cell r="A36" t="str">
            <v>3S</v>
          </cell>
          <cell r="B36">
            <v>0.78125</v>
          </cell>
        </row>
        <row r="37">
          <cell r="A37" t="str">
            <v>4S</v>
          </cell>
          <cell r="B37">
            <v>0.69696969696969702</v>
          </cell>
        </row>
        <row r="38">
          <cell r="A38" t="str">
            <v>5S</v>
          </cell>
          <cell r="B38">
            <v>0.75757575757575757</v>
          </cell>
        </row>
        <row r="39">
          <cell r="A39" t="str">
            <v>6S</v>
          </cell>
          <cell r="B39">
            <v>0.75757575757575757</v>
          </cell>
        </row>
        <row r="40">
          <cell r="A40" t="str">
            <v>7S</v>
          </cell>
          <cell r="B40">
            <v>0.67741935483870963</v>
          </cell>
        </row>
        <row r="41">
          <cell r="A41" t="str">
            <v>8S</v>
          </cell>
          <cell r="B41">
            <v>0.66666666666666663</v>
          </cell>
        </row>
        <row r="42">
          <cell r="A42" t="str">
            <v>9S</v>
          </cell>
          <cell r="B42">
            <v>0.69696969696969702</v>
          </cell>
        </row>
        <row r="43">
          <cell r="A43" t="str">
            <v>10S</v>
          </cell>
          <cell r="B43">
            <v>0.65625</v>
          </cell>
        </row>
        <row r="44">
          <cell r="A44" t="str">
            <v>11S</v>
          </cell>
          <cell r="B44">
            <v>0.75</v>
          </cell>
        </row>
        <row r="45">
          <cell r="A45" t="str">
            <v>12S</v>
          </cell>
          <cell r="B45">
            <v>0.78787878787878785</v>
          </cell>
        </row>
        <row r="46">
          <cell r="A46" t="str">
            <v>13S</v>
          </cell>
          <cell r="B46">
            <v>0.84375</v>
          </cell>
        </row>
        <row r="47">
          <cell r="A47" t="str">
            <v>14S</v>
          </cell>
          <cell r="B47">
            <v>0.58823529411764708</v>
          </cell>
        </row>
        <row r="48">
          <cell r="A48" t="str">
            <v>15S</v>
          </cell>
          <cell r="B48">
            <v>0.66666666666666663</v>
          </cell>
        </row>
        <row r="49">
          <cell r="A49" t="str">
            <v>16S</v>
          </cell>
          <cell r="B49">
            <v>0.5</v>
          </cell>
        </row>
        <row r="50">
          <cell r="A50" t="str">
            <v>1M</v>
          </cell>
          <cell r="B50">
            <v>0.78787878787878785</v>
          </cell>
        </row>
        <row r="51">
          <cell r="A51" t="str">
            <v>2M</v>
          </cell>
          <cell r="B51">
            <v>0.84848484848484851</v>
          </cell>
        </row>
        <row r="52">
          <cell r="A52" t="str">
            <v>3M</v>
          </cell>
          <cell r="B52">
            <v>0.76470588235294112</v>
          </cell>
        </row>
        <row r="53">
          <cell r="A53" t="str">
            <v>4M</v>
          </cell>
          <cell r="B53">
            <v>0.65625</v>
          </cell>
        </row>
        <row r="54">
          <cell r="A54" t="str">
            <v>5M</v>
          </cell>
          <cell r="B54">
            <v>0.78787878787878785</v>
          </cell>
        </row>
        <row r="55">
          <cell r="A55" t="str">
            <v>6M</v>
          </cell>
          <cell r="B55">
            <v>0.75757575757575757</v>
          </cell>
        </row>
        <row r="56">
          <cell r="A56" t="str">
            <v>7M</v>
          </cell>
          <cell r="B56">
            <v>0.78125</v>
          </cell>
        </row>
        <row r="57">
          <cell r="A57" t="str">
            <v>8M</v>
          </cell>
          <cell r="B57">
            <v>0.61290322580645162</v>
          </cell>
        </row>
        <row r="58">
          <cell r="A58" t="str">
            <v>9M</v>
          </cell>
          <cell r="B58">
            <v>0.67741935483870963</v>
          </cell>
        </row>
        <row r="59">
          <cell r="A59" t="str">
            <v>10M</v>
          </cell>
          <cell r="B59">
            <v>0.59375</v>
          </cell>
        </row>
        <row r="60">
          <cell r="A60" t="str">
            <v>11M</v>
          </cell>
          <cell r="B60">
            <v>0.78787878787878785</v>
          </cell>
        </row>
        <row r="61">
          <cell r="A61" t="str">
            <v>12M</v>
          </cell>
          <cell r="B61">
            <v>0.875</v>
          </cell>
        </row>
        <row r="62">
          <cell r="A62" t="str">
            <v>13M</v>
          </cell>
          <cell r="B62">
            <v>0.6875</v>
          </cell>
        </row>
        <row r="63">
          <cell r="A63" t="str">
            <v>14M</v>
          </cell>
          <cell r="B63">
            <v>0.73529411764705888</v>
          </cell>
        </row>
        <row r="64">
          <cell r="A64" t="str">
            <v>15M</v>
          </cell>
          <cell r="B64">
            <v>0.72727272727272729</v>
          </cell>
        </row>
        <row r="65">
          <cell r="A65" t="str">
            <v>16M</v>
          </cell>
          <cell r="B65">
            <v>0.67741935483870963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P1">
            <v>1</v>
          </cell>
          <cell r="Q1">
            <v>2</v>
          </cell>
          <cell r="R1">
            <v>3</v>
          </cell>
          <cell r="S1">
            <v>4</v>
          </cell>
          <cell r="T1">
            <v>5</v>
          </cell>
          <cell r="U1">
            <v>6</v>
          </cell>
          <cell r="V1">
            <v>7</v>
          </cell>
          <cell r="W1">
            <v>8</v>
          </cell>
        </row>
        <row r="2">
          <cell r="O2">
            <v>1</v>
          </cell>
          <cell r="P2">
            <v>0.5</v>
          </cell>
          <cell r="Q2">
            <v>0.4838709677419355</v>
          </cell>
          <cell r="R2">
            <v>0.18518518518518517</v>
          </cell>
          <cell r="S2">
            <v>8.6956521739130432E-2</v>
          </cell>
          <cell r="T2">
            <v>9.375E-2</v>
          </cell>
          <cell r="U2">
            <v>0.66666666666666663</v>
          </cell>
          <cell r="V2">
            <v>9.9999999999999995E-7</v>
          </cell>
          <cell r="W2">
            <v>8.1967213114754092E-2</v>
          </cell>
        </row>
        <row r="3">
          <cell r="O3">
            <v>2</v>
          </cell>
          <cell r="P3">
            <v>0.5161290322580645</v>
          </cell>
          <cell r="Q3">
            <v>0.5</v>
          </cell>
          <cell r="R3">
            <v>0.51111111111111107</v>
          </cell>
          <cell r="S3">
            <v>0.5</v>
          </cell>
          <cell r="T3">
            <v>9.9999999999999995E-7</v>
          </cell>
          <cell r="U3">
            <v>0.15384615384615385</v>
          </cell>
          <cell r="V3">
            <v>8.3333333333333329E-2</v>
          </cell>
          <cell r="W3">
            <v>0.99999899999999997</v>
          </cell>
        </row>
        <row r="4">
          <cell r="O4">
            <v>3</v>
          </cell>
          <cell r="P4">
            <v>0.81481481481481477</v>
          </cell>
          <cell r="Q4">
            <v>0.48888888888888887</v>
          </cell>
          <cell r="R4">
            <v>9.9999999999999995E-7</v>
          </cell>
          <cell r="S4">
            <v>1.0000000000000001E-5</v>
          </cell>
          <cell r="T4">
            <v>9.9999999999999995E-7</v>
          </cell>
          <cell r="U4">
            <v>0.23333333333333334</v>
          </cell>
          <cell r="V4">
            <v>9.9999999999999995E-7</v>
          </cell>
          <cell r="W4">
            <v>9.9999999999999995E-7</v>
          </cell>
        </row>
        <row r="5">
          <cell r="O5">
            <v>4</v>
          </cell>
          <cell r="P5">
            <v>0.91304347826086951</v>
          </cell>
          <cell r="Q5">
            <v>0.5</v>
          </cell>
          <cell r="R5">
            <v>0.99999899999999997</v>
          </cell>
          <cell r="S5">
            <v>1.0000000000000001E-5</v>
          </cell>
          <cell r="T5">
            <v>0.56666666666666665</v>
          </cell>
          <cell r="U5">
            <v>9.9999999999999995E-7</v>
          </cell>
          <cell r="V5">
            <v>9.9999999999999995E-7</v>
          </cell>
          <cell r="W5">
            <v>0.25</v>
          </cell>
        </row>
        <row r="6">
          <cell r="O6">
            <v>5</v>
          </cell>
          <cell r="P6">
            <v>0.90625</v>
          </cell>
          <cell r="Q6">
            <v>0.99999899999999997</v>
          </cell>
          <cell r="R6">
            <v>0.99999899999999997</v>
          </cell>
          <cell r="S6">
            <v>0.43333333333333335</v>
          </cell>
          <cell r="T6">
            <v>9.9999999999999995E-7</v>
          </cell>
          <cell r="U6">
            <v>9.9999999999999995E-7</v>
          </cell>
          <cell r="V6">
            <v>9.9999999999999995E-7</v>
          </cell>
          <cell r="W6">
            <v>9.9999999999999995E-7</v>
          </cell>
        </row>
        <row r="7">
          <cell r="O7">
            <v>6</v>
          </cell>
          <cell r="P7">
            <v>0.33333333333333331</v>
          </cell>
          <cell r="Q7">
            <v>0.84615384615384615</v>
          </cell>
          <cell r="R7">
            <v>0.76666666666666672</v>
          </cell>
          <cell r="S7">
            <v>1.0000000000000001E-5</v>
          </cell>
          <cell r="T7">
            <v>9.9999999999999995E-7</v>
          </cell>
          <cell r="U7">
            <v>9.9999999999999995E-7</v>
          </cell>
          <cell r="V7">
            <v>0.99999899999999997</v>
          </cell>
          <cell r="W7">
            <v>9.9999999999999995E-7</v>
          </cell>
        </row>
        <row r="8">
          <cell r="O8">
            <v>7</v>
          </cell>
          <cell r="P8">
            <v>0.99999899999999997</v>
          </cell>
          <cell r="Q8">
            <v>0.91666666666666663</v>
          </cell>
          <cell r="R8">
            <v>0.99999899999999997</v>
          </cell>
          <cell r="S8">
            <v>1.0000000000000001E-5</v>
          </cell>
          <cell r="T8">
            <v>9.9999999999999995E-7</v>
          </cell>
          <cell r="U8">
            <v>9.9999999999999995E-7</v>
          </cell>
          <cell r="V8">
            <v>9.9999999999999995E-7</v>
          </cell>
          <cell r="W8">
            <v>9.9999999999999995E-7</v>
          </cell>
        </row>
        <row r="9">
          <cell r="O9">
            <v>8</v>
          </cell>
          <cell r="P9">
            <v>0.91803278688524592</v>
          </cell>
          <cell r="Q9">
            <v>9.9999999999999995E-7</v>
          </cell>
          <cell r="R9">
            <v>9.9999999999999995E-7</v>
          </cell>
          <cell r="S9">
            <v>0.75</v>
          </cell>
          <cell r="T9">
            <v>0.99999899999999997</v>
          </cell>
          <cell r="U9">
            <v>9.9999999999999995E-7</v>
          </cell>
          <cell r="V9">
            <v>9.9999999999999995E-7</v>
          </cell>
          <cell r="W9">
            <v>9.9999999999999995E-7</v>
          </cell>
        </row>
      </sheetData>
      <sheetData sheetId="13"/>
      <sheetData sheetId="14"/>
      <sheetData sheetId="15"/>
      <sheetData sheetId="16">
        <row r="1"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</row>
        <row r="2">
          <cell r="A2">
            <v>1</v>
          </cell>
          <cell r="B2">
            <v>9.9999999999999995E-7</v>
          </cell>
          <cell r="C2">
            <v>0.42857142857142855</v>
          </cell>
          <cell r="D2">
            <v>0.18181818181818182</v>
          </cell>
          <cell r="E2">
            <v>0.27272727272727271</v>
          </cell>
          <cell r="F2">
            <v>0.25</v>
          </cell>
          <cell r="G2">
            <v>9.9999999999999995E-7</v>
          </cell>
          <cell r="H2">
            <v>0.5</v>
          </cell>
          <cell r="I2">
            <v>9.9999999999999995E-7</v>
          </cell>
        </row>
        <row r="3">
          <cell r="A3">
            <v>2</v>
          </cell>
          <cell r="B3">
            <v>0.5714285714285714</v>
          </cell>
          <cell r="C3">
            <v>9.9999999999999995E-7</v>
          </cell>
          <cell r="D3">
            <v>0.375</v>
          </cell>
          <cell r="E3">
            <v>0.45454545454545453</v>
          </cell>
          <cell r="F3">
            <v>0.5</v>
          </cell>
          <cell r="G3">
            <v>0.99999899999999997</v>
          </cell>
          <cell r="H3">
            <v>0.99999899999999997</v>
          </cell>
          <cell r="I3">
            <v>0.5</v>
          </cell>
        </row>
        <row r="4">
          <cell r="A4">
            <v>3</v>
          </cell>
          <cell r="B4">
            <v>0.81818181818181823</v>
          </cell>
          <cell r="C4">
            <v>0.625</v>
          </cell>
          <cell r="D4">
            <v>9.9999999999999995E-7</v>
          </cell>
          <cell r="E4">
            <v>0.6</v>
          </cell>
          <cell r="F4">
            <v>9.9999999999999995E-7</v>
          </cell>
          <cell r="G4">
            <v>0.99999899999999997</v>
          </cell>
          <cell r="H4">
            <v>0.99999899999999997</v>
          </cell>
          <cell r="I4">
            <v>0.99999899999999997</v>
          </cell>
        </row>
        <row r="5">
          <cell r="A5">
            <v>4</v>
          </cell>
          <cell r="B5">
            <v>0.72727272727272729</v>
          </cell>
          <cell r="C5">
            <v>0.54545454545454541</v>
          </cell>
          <cell r="D5">
            <v>0.4</v>
          </cell>
          <cell r="E5">
            <v>9.9999999999999995E-7</v>
          </cell>
          <cell r="F5">
            <v>9.9999999999999995E-7</v>
          </cell>
          <cell r="G5">
            <v>0.5</v>
          </cell>
          <cell r="H5">
            <v>9.9999999999999995E-7</v>
          </cell>
          <cell r="I5">
            <v>0.66666666666666663</v>
          </cell>
        </row>
        <row r="6">
          <cell r="A6">
            <v>5</v>
          </cell>
          <cell r="B6">
            <v>0.75</v>
          </cell>
          <cell r="C6">
            <v>0.5</v>
          </cell>
          <cell r="D6">
            <v>9.9999999999999995E-7</v>
          </cell>
          <cell r="E6">
            <v>9.9999999999999995E-7</v>
          </cell>
          <cell r="F6">
            <v>9.9999999999999995E-7</v>
          </cell>
          <cell r="G6">
            <v>0.33333333333333331</v>
          </cell>
          <cell r="H6">
            <v>0.625</v>
          </cell>
          <cell r="I6">
            <v>0.5</v>
          </cell>
        </row>
        <row r="7">
          <cell r="A7">
            <v>6</v>
          </cell>
          <cell r="B7">
            <v>0.99999899999999997</v>
          </cell>
          <cell r="C7">
            <v>9.9999999999999995E-7</v>
          </cell>
          <cell r="D7">
            <v>9.9999999999999995E-7</v>
          </cell>
          <cell r="E7">
            <v>0.5</v>
          </cell>
          <cell r="F7">
            <v>0.66666666666666663</v>
          </cell>
          <cell r="G7">
            <v>9.9999999999999995E-7</v>
          </cell>
          <cell r="H7">
            <v>0.33333333333333331</v>
          </cell>
          <cell r="I7">
            <v>0.7</v>
          </cell>
        </row>
        <row r="8">
          <cell r="A8">
            <v>7</v>
          </cell>
          <cell r="B8">
            <v>0.5</v>
          </cell>
          <cell r="C8">
            <v>9.9999999999999995E-7</v>
          </cell>
          <cell r="D8">
            <v>9.9999999999999995E-7</v>
          </cell>
          <cell r="E8">
            <v>9.9999999999999995E-7</v>
          </cell>
          <cell r="F8">
            <v>0.375</v>
          </cell>
          <cell r="G8">
            <v>0.66666666666666663</v>
          </cell>
          <cell r="H8">
            <v>9.9999999999999995E-7</v>
          </cell>
          <cell r="I8">
            <v>0.625</v>
          </cell>
        </row>
        <row r="9">
          <cell r="A9">
            <v>8</v>
          </cell>
          <cell r="B9">
            <v>0.99999899999999997</v>
          </cell>
          <cell r="C9">
            <v>0.5</v>
          </cell>
          <cell r="D9">
            <v>9.9999999999999995E-7</v>
          </cell>
          <cell r="E9">
            <v>0.33333333333333331</v>
          </cell>
          <cell r="F9">
            <v>0.5</v>
          </cell>
          <cell r="G9">
            <v>0.3</v>
          </cell>
          <cell r="H9">
            <v>0.375</v>
          </cell>
          <cell r="I9">
            <v>9.9999999999999995E-7</v>
          </cell>
        </row>
      </sheetData>
      <sheetData sheetId="17">
        <row r="1">
          <cell r="B1">
            <v>1</v>
          </cell>
          <cell r="C1">
            <v>2</v>
          </cell>
          <cell r="D1">
            <v>3</v>
          </cell>
          <cell r="E1">
            <v>4</v>
          </cell>
        </row>
        <row r="2">
          <cell r="A2">
            <v>1</v>
          </cell>
          <cell r="B2">
            <v>0.5</v>
          </cell>
          <cell r="C2">
            <v>0.30769230769230771</v>
          </cell>
          <cell r="D2">
            <v>0.25806451612903225</v>
          </cell>
          <cell r="E2">
            <v>0.51724137931034486</v>
          </cell>
        </row>
        <row r="3">
          <cell r="A3">
            <v>2</v>
          </cell>
          <cell r="B3">
            <v>0.69230769230769229</v>
          </cell>
          <cell r="C3">
            <v>0.5</v>
          </cell>
          <cell r="D3">
            <v>0.48</v>
          </cell>
          <cell r="E3">
            <v>0.5357142857142857</v>
          </cell>
        </row>
        <row r="4">
          <cell r="A4">
            <v>3</v>
          </cell>
          <cell r="B4">
            <v>0.74193548387096775</v>
          </cell>
          <cell r="C4">
            <v>0.52</v>
          </cell>
          <cell r="D4">
            <v>0.5</v>
          </cell>
          <cell r="E4">
            <v>0.375</v>
          </cell>
        </row>
        <row r="5">
          <cell r="A5">
            <v>4</v>
          </cell>
          <cell r="B5">
            <v>0.48275862068965519</v>
          </cell>
          <cell r="C5">
            <v>0.4642857142857143</v>
          </cell>
          <cell r="D5">
            <v>0.625</v>
          </cell>
          <cell r="E5">
            <v>0.5</v>
          </cell>
        </row>
      </sheetData>
      <sheetData sheetId="18"/>
      <sheetData sheetId="19"/>
      <sheetData sheetId="20"/>
      <sheetData sheetId="21">
        <row r="27">
          <cell r="C27">
            <v>1564800</v>
          </cell>
        </row>
      </sheetData>
      <sheetData sheetId="22"/>
      <sheetData sheetId="23">
        <row r="1">
          <cell r="C1" t="str">
            <v>record</v>
          </cell>
          <cell r="D1" t="str">
            <v>of</v>
          </cell>
          <cell r="E1">
            <v>1</v>
          </cell>
          <cell r="F1">
            <v>2</v>
          </cell>
          <cell r="G1">
            <v>3</v>
          </cell>
          <cell r="H1">
            <v>4</v>
          </cell>
          <cell r="I1">
            <v>5</v>
          </cell>
          <cell r="J1">
            <v>6</v>
          </cell>
          <cell r="K1">
            <v>7</v>
          </cell>
          <cell r="L1">
            <v>8</v>
          </cell>
          <cell r="M1">
            <v>9</v>
          </cell>
          <cell r="N1">
            <v>10</v>
          </cell>
          <cell r="O1">
            <v>11</v>
          </cell>
          <cell r="P1">
            <v>12</v>
          </cell>
          <cell r="Q1">
            <v>13</v>
          </cell>
          <cell r="R1">
            <v>14</v>
          </cell>
          <cell r="S1">
            <v>15</v>
          </cell>
          <cell r="T1">
            <v>16</v>
          </cell>
        </row>
        <row r="2">
          <cell r="C2">
            <v>1</v>
          </cell>
          <cell r="D2" t="str">
            <v>(31-31)</v>
          </cell>
          <cell r="E2">
            <v>0.5</v>
          </cell>
          <cell r="F2">
            <v>0.39300000000000002</v>
          </cell>
          <cell r="G2">
            <v>0.26200000000000001</v>
          </cell>
          <cell r="H2">
            <v>0.19800000000000001</v>
          </cell>
          <cell r="I2">
            <v>0.10299999999999999</v>
          </cell>
          <cell r="J2">
            <v>0.2</v>
          </cell>
          <cell r="K2">
            <v>0.2</v>
          </cell>
          <cell r="L2">
            <v>4.8000000000000001E-2</v>
          </cell>
          <cell r="M2">
            <v>3.3000000000000002E-2</v>
          </cell>
          <cell r="N2">
            <v>9.9999999999999995E-7</v>
          </cell>
          <cell r="O2">
            <v>9.9999999999999995E-7</v>
          </cell>
          <cell r="P2">
            <v>9.9999999999999995E-7</v>
          </cell>
          <cell r="Q2">
            <v>9.9999999999999995E-7</v>
          </cell>
          <cell r="R2">
            <v>9.9999999999999995E-7</v>
          </cell>
          <cell r="S2">
            <v>9.9999999999999995E-7</v>
          </cell>
          <cell r="T2">
            <v>0.01</v>
          </cell>
        </row>
        <row r="3">
          <cell r="C3">
            <v>2</v>
          </cell>
          <cell r="D3" t="str">
            <v>(65-42)</v>
          </cell>
          <cell r="E3">
            <v>0.60699999999999998</v>
          </cell>
          <cell r="F3">
            <v>0.5</v>
          </cell>
          <cell r="G3">
            <v>0.35599999999999998</v>
          </cell>
          <cell r="H3">
            <v>0.53300000000000003</v>
          </cell>
          <cell r="I3">
            <v>0.5</v>
          </cell>
          <cell r="J3">
            <v>0.214</v>
          </cell>
          <cell r="K3">
            <v>0.16</v>
          </cell>
          <cell r="L3">
            <v>0.99999899999999997</v>
          </cell>
          <cell r="M3">
            <v>0.99999899999999997</v>
          </cell>
          <cell r="N3">
            <v>0.111</v>
          </cell>
          <cell r="O3">
            <v>9.9999999999999995E-7</v>
          </cell>
          <cell r="P3">
            <v>9.9999999999999995E-7</v>
          </cell>
          <cell r="Q3">
            <v>9.9999999999999995E-7</v>
          </cell>
          <cell r="R3">
            <v>9.9999999999999995E-7</v>
          </cell>
          <cell r="S3">
            <v>9.9999999999999995E-7</v>
          </cell>
          <cell r="T3">
            <v>9.9999999999999995E-7</v>
          </cell>
        </row>
        <row r="4">
          <cell r="C4">
            <v>3</v>
          </cell>
          <cell r="D4" t="str">
            <v>(31-11)</v>
          </cell>
          <cell r="E4">
            <v>0.73799999999999999</v>
          </cell>
          <cell r="F4">
            <v>0.64400000000000002</v>
          </cell>
          <cell r="G4">
            <v>0.5</v>
          </cell>
          <cell r="H4">
            <v>0.36399999999999999</v>
          </cell>
          <cell r="I4">
            <v>9.9999999999999995E-7</v>
          </cell>
          <cell r="J4">
            <v>0.27</v>
          </cell>
          <cell r="K4">
            <v>0.53800000000000003</v>
          </cell>
          <cell r="L4">
            <v>9.9999999999999995E-7</v>
          </cell>
          <cell r="M4">
            <v>9.9999999999999995E-7</v>
          </cell>
          <cell r="N4">
            <v>0.4</v>
          </cell>
          <cell r="O4">
            <v>0.29399999999999998</v>
          </cell>
          <cell r="P4">
            <v>9.9999999999999995E-7</v>
          </cell>
          <cell r="Q4">
            <v>9.9999999999999995E-7</v>
          </cell>
          <cell r="R4">
            <v>9.9999999999999995E-7</v>
          </cell>
          <cell r="S4">
            <v>9.9999999999999995E-7</v>
          </cell>
          <cell r="T4">
            <v>9.9999999999999995E-7</v>
          </cell>
        </row>
        <row r="5">
          <cell r="C5">
            <v>4</v>
          </cell>
          <cell r="D5" t="str">
            <v>(81-20)</v>
          </cell>
          <cell r="E5">
            <v>0.80200000000000005</v>
          </cell>
          <cell r="F5">
            <v>0.46700000000000003</v>
          </cell>
          <cell r="G5">
            <v>0.63600000000000001</v>
          </cell>
          <cell r="H5">
            <v>9.9999999999999995E-7</v>
          </cell>
          <cell r="I5">
            <v>0.32700000000000001</v>
          </cell>
          <cell r="J5">
            <v>9.9999999999999995E-7</v>
          </cell>
          <cell r="K5">
            <v>0.33300000000000002</v>
          </cell>
          <cell r="L5">
            <v>9.9999999999999995E-7</v>
          </cell>
          <cell r="M5">
            <v>9.9999999999999995E-7</v>
          </cell>
          <cell r="N5">
            <v>9.9999999999999995E-7</v>
          </cell>
          <cell r="O5">
            <v>9.9999999999999995E-7</v>
          </cell>
          <cell r="P5">
            <v>0.17399999999999999</v>
          </cell>
          <cell r="Q5">
            <v>6.3E-2</v>
          </cell>
          <cell r="R5">
            <v>9.9999999999999995E-7</v>
          </cell>
          <cell r="S5">
            <v>9.9999999999999995E-7</v>
          </cell>
          <cell r="T5">
            <v>9.9999999999999995E-7</v>
          </cell>
        </row>
        <row r="6">
          <cell r="C6">
            <v>5</v>
          </cell>
          <cell r="D6" t="str">
            <v>(35-4)</v>
          </cell>
          <cell r="E6">
            <v>0.89700000000000002</v>
          </cell>
          <cell r="F6">
            <v>0.5</v>
          </cell>
          <cell r="G6">
            <v>0.99999899999999997</v>
          </cell>
          <cell r="H6">
            <v>0.67300000000000004</v>
          </cell>
          <cell r="I6">
            <v>9.9999999999999995E-7</v>
          </cell>
          <cell r="J6">
            <v>0.5</v>
          </cell>
          <cell r="K6">
            <v>9.9999999999999995E-7</v>
          </cell>
          <cell r="L6">
            <v>0.5</v>
          </cell>
          <cell r="M6">
            <v>0.99999899999999997</v>
          </cell>
          <cell r="N6">
            <v>9.9999999999999995E-7</v>
          </cell>
          <cell r="O6">
            <v>9.9999999999999995E-7</v>
          </cell>
          <cell r="P6">
            <v>0.19800000000000001</v>
          </cell>
          <cell r="Q6">
            <v>0.5</v>
          </cell>
          <cell r="R6">
            <v>9.9999999999999995E-7</v>
          </cell>
          <cell r="S6">
            <v>9.9999999999999995E-7</v>
          </cell>
          <cell r="T6">
            <v>9.9999999999999995E-7</v>
          </cell>
        </row>
        <row r="7">
          <cell r="C7">
            <v>6</v>
          </cell>
          <cell r="D7" t="str">
            <v>(4-1)</v>
          </cell>
          <cell r="E7">
            <v>0.8</v>
          </cell>
          <cell r="F7">
            <v>0.78600000000000003</v>
          </cell>
          <cell r="G7">
            <v>0.73</v>
          </cell>
          <cell r="H7">
            <v>0.99999899999999997</v>
          </cell>
          <cell r="I7">
            <v>0.5</v>
          </cell>
          <cell r="J7">
            <v>9.9999999999999995E-7</v>
          </cell>
          <cell r="K7">
            <v>0.33300000000000002</v>
          </cell>
          <cell r="L7">
            <v>9.9999999999999995E-7</v>
          </cell>
          <cell r="M7">
            <v>9.9999999999999995E-7</v>
          </cell>
          <cell r="N7">
            <v>9.9999999999999995E-7</v>
          </cell>
          <cell r="O7">
            <v>0.29299999999999998</v>
          </cell>
          <cell r="P7">
            <v>9.9999999999999995E-7</v>
          </cell>
          <cell r="Q7">
            <v>9.9999999999999995E-7</v>
          </cell>
          <cell r="R7">
            <v>9.9999999999999995E-7</v>
          </cell>
          <cell r="S7">
            <v>9.9999999999999995E-7</v>
          </cell>
          <cell r="T7">
            <v>9.9999999999999995E-7</v>
          </cell>
        </row>
        <row r="8">
          <cell r="C8">
            <v>7</v>
          </cell>
          <cell r="D8" t="str">
            <v>(4-1)</v>
          </cell>
          <cell r="E8">
            <v>0.8</v>
          </cell>
          <cell r="F8">
            <v>0.84</v>
          </cell>
          <cell r="G8">
            <v>0.46200000000000002</v>
          </cell>
          <cell r="H8">
            <v>0.66700000000000004</v>
          </cell>
          <cell r="I8">
            <v>9.9999999999999995E-7</v>
          </cell>
          <cell r="J8">
            <v>0.66700000000000004</v>
          </cell>
          <cell r="K8">
            <v>9.9999999999999995E-7</v>
          </cell>
          <cell r="L8">
            <v>9.9999999999999995E-7</v>
          </cell>
          <cell r="M8">
            <v>9.9999999999999995E-7</v>
          </cell>
          <cell r="N8">
            <v>0.35199999999999998</v>
          </cell>
          <cell r="O8">
            <v>0.99999899999999997</v>
          </cell>
          <cell r="P8">
            <v>9.9999999999999995E-7</v>
          </cell>
          <cell r="Q8">
            <v>9.9999999999999995E-7</v>
          </cell>
          <cell r="R8">
            <v>9.9999999999999995E-7</v>
          </cell>
          <cell r="S8">
            <v>9.9999999999999995E-7</v>
          </cell>
          <cell r="T8">
            <v>9.9999999999999995E-7</v>
          </cell>
        </row>
        <row r="9">
          <cell r="C9">
            <v>8</v>
          </cell>
          <cell r="D9" t="str">
            <v>(80-4)</v>
          </cell>
          <cell r="E9">
            <v>0.95199999999999996</v>
          </cell>
          <cell r="F9">
            <v>9.9999999999999995E-7</v>
          </cell>
          <cell r="G9">
            <v>9.9999999999999995E-7</v>
          </cell>
          <cell r="H9">
            <v>0.99999899999999997</v>
          </cell>
          <cell r="I9">
            <v>0.5</v>
          </cell>
          <cell r="J9">
            <v>9.9999999999999995E-7</v>
          </cell>
          <cell r="K9">
            <v>9.9999999999999995E-7</v>
          </cell>
          <cell r="L9">
            <v>0.5</v>
          </cell>
          <cell r="M9">
            <v>0.46899999999999997</v>
          </cell>
          <cell r="N9">
            <v>9.9999999999999995E-7</v>
          </cell>
          <cell r="O9">
            <v>9.9999999999999995E-7</v>
          </cell>
          <cell r="P9">
            <v>9.9999999999999995E-7</v>
          </cell>
          <cell r="Q9">
            <v>9.9999999999999995E-7</v>
          </cell>
          <cell r="R9">
            <v>9.9999999999999995E-7</v>
          </cell>
          <cell r="S9">
            <v>9.9999999999999995E-7</v>
          </cell>
          <cell r="T9">
            <v>9.9999999999999995E-7</v>
          </cell>
        </row>
        <row r="10">
          <cell r="C10">
            <v>9</v>
          </cell>
          <cell r="D10" t="str">
            <v>(58-2)</v>
          </cell>
          <cell r="E10">
            <v>0.96699999999999997</v>
          </cell>
          <cell r="F10">
            <v>9.9999999999999995E-7</v>
          </cell>
          <cell r="G10">
            <v>9.9999999999999995E-7</v>
          </cell>
          <cell r="H10">
            <v>0.99999899999999997</v>
          </cell>
          <cell r="I10">
            <v>9.9999999999999995E-7</v>
          </cell>
          <cell r="J10">
            <v>9.9999999999999995E-7</v>
          </cell>
          <cell r="K10">
            <v>9.9999999999999995E-7</v>
          </cell>
          <cell r="L10">
            <v>0.53100000000000003</v>
          </cell>
          <cell r="M10">
            <v>9.9999999999999995E-7</v>
          </cell>
          <cell r="N10">
            <v>9.9999999999999995E-7</v>
          </cell>
          <cell r="O10">
            <v>9.9999999999999995E-7</v>
          </cell>
          <cell r="P10">
            <v>9.9999999999999995E-7</v>
          </cell>
          <cell r="Q10">
            <v>9.9999999999999995E-7</v>
          </cell>
          <cell r="R10">
            <v>9.9999999999999995E-7</v>
          </cell>
          <cell r="S10">
            <v>9.9999999999999995E-7</v>
          </cell>
          <cell r="T10">
            <v>9.9999999999999995E-7</v>
          </cell>
        </row>
        <row r="11">
          <cell r="C11">
            <v>10</v>
          </cell>
          <cell r="D11" t="str">
            <v>(2-0)</v>
          </cell>
          <cell r="E11">
            <v>0.99999899999999997</v>
          </cell>
          <cell r="F11">
            <v>0.88900000000000001</v>
          </cell>
          <cell r="G11">
            <v>0.6</v>
          </cell>
          <cell r="H11">
            <v>9.9999999999999995E-7</v>
          </cell>
          <cell r="I11">
            <v>9.9999999999999995E-7</v>
          </cell>
          <cell r="J11">
            <v>9.9999999999999995E-7</v>
          </cell>
          <cell r="K11">
            <v>0.64800000000000002</v>
          </cell>
          <cell r="L11">
            <v>9.9999999999999995E-7</v>
          </cell>
          <cell r="M11">
            <v>9.9999999999999995E-7</v>
          </cell>
          <cell r="N11">
            <v>9.9999999999999995E-7</v>
          </cell>
          <cell r="O11">
            <v>9.9999999999999995E-7</v>
          </cell>
          <cell r="P11">
            <v>9.9999999999999995E-7</v>
          </cell>
          <cell r="Q11">
            <v>9.9999999999999995E-7</v>
          </cell>
          <cell r="R11">
            <v>9.9999999999999995E-7</v>
          </cell>
          <cell r="S11">
            <v>9.9999999999999995E-7</v>
          </cell>
          <cell r="T11">
            <v>9.9999999999999995E-7</v>
          </cell>
        </row>
        <row r="12">
          <cell r="C12">
            <v>11</v>
          </cell>
          <cell r="D12" t="str">
            <v>(1-0)</v>
          </cell>
          <cell r="E12">
            <v>0.99999899999999997</v>
          </cell>
          <cell r="F12">
            <v>0.99999899999999997</v>
          </cell>
          <cell r="G12">
            <v>0.70599999999999996</v>
          </cell>
          <cell r="H12">
            <v>9.9999999999999995E-7</v>
          </cell>
          <cell r="I12">
            <v>9.9999999999999995E-7</v>
          </cell>
          <cell r="J12">
            <v>0.70699999999999996</v>
          </cell>
          <cell r="K12">
            <v>9.9999999999999995E-7</v>
          </cell>
          <cell r="L12">
            <v>9.9999999999999995E-7</v>
          </cell>
          <cell r="M12">
            <v>9.9999999999999995E-7</v>
          </cell>
          <cell r="N12">
            <v>9.9999999999999995E-7</v>
          </cell>
          <cell r="O12">
            <v>9.9999999999999995E-7</v>
          </cell>
          <cell r="P12">
            <v>9.9999999999999995E-7</v>
          </cell>
          <cell r="Q12">
            <v>9.9999999999999995E-7</v>
          </cell>
          <cell r="R12">
            <v>9.9999999999999995E-7</v>
          </cell>
          <cell r="S12">
            <v>9.9999999999999995E-7</v>
          </cell>
          <cell r="T12">
            <v>9.9999999999999995E-7</v>
          </cell>
        </row>
        <row r="13">
          <cell r="C13">
            <v>12</v>
          </cell>
          <cell r="D13" t="str">
            <v>(4-0)</v>
          </cell>
          <cell r="E13">
            <v>0.99999899999999997</v>
          </cell>
          <cell r="F13">
            <v>9.9999999999999995E-7</v>
          </cell>
          <cell r="G13">
            <v>9.9999999999999995E-7</v>
          </cell>
          <cell r="H13">
            <v>0.79200000000000004</v>
          </cell>
          <cell r="I13">
            <v>0.79500000000000004</v>
          </cell>
          <cell r="J13">
            <v>9.9999999999999995E-7</v>
          </cell>
          <cell r="K13">
            <v>9.9999999999999995E-7</v>
          </cell>
          <cell r="L13">
            <v>9.9999999999999995E-7</v>
          </cell>
          <cell r="M13">
            <v>9.9999999999999995E-7</v>
          </cell>
          <cell r="N13">
            <v>9.9999999999999995E-7</v>
          </cell>
          <cell r="O13">
            <v>9.9999999999999995E-7</v>
          </cell>
          <cell r="P13">
            <v>9.9999999999999995E-7</v>
          </cell>
          <cell r="Q13">
            <v>9.9999999999999995E-7</v>
          </cell>
          <cell r="R13">
            <v>9.9999999999999995E-7</v>
          </cell>
          <cell r="S13">
            <v>9.9999999999999995E-7</v>
          </cell>
          <cell r="T13">
            <v>9.9999999999999995E-7</v>
          </cell>
        </row>
        <row r="14">
          <cell r="C14">
            <v>13</v>
          </cell>
          <cell r="D14" t="str">
            <v>(3-0)</v>
          </cell>
          <cell r="E14">
            <v>0.99999899999999997</v>
          </cell>
          <cell r="F14">
            <v>9.9999999999999995E-7</v>
          </cell>
          <cell r="G14">
            <v>9.9999999999999995E-7</v>
          </cell>
          <cell r="H14">
            <v>0.93799999999999994</v>
          </cell>
          <cell r="I14">
            <v>0.5</v>
          </cell>
          <cell r="J14">
            <v>9.9999999999999995E-7</v>
          </cell>
          <cell r="K14">
            <v>9.9999999999999995E-7</v>
          </cell>
          <cell r="L14">
            <v>9.9999999999999995E-7</v>
          </cell>
          <cell r="M14">
            <v>9.9999999999999995E-7</v>
          </cell>
          <cell r="N14">
            <v>9.9999999999999995E-7</v>
          </cell>
          <cell r="O14">
            <v>9.9999999999999995E-7</v>
          </cell>
          <cell r="P14">
            <v>9.9999999999999995E-7</v>
          </cell>
          <cell r="Q14">
            <v>9.9999999999999995E-7</v>
          </cell>
          <cell r="R14">
            <v>9.9999999999999995E-7</v>
          </cell>
          <cell r="S14">
            <v>9.9999999999999995E-7</v>
          </cell>
          <cell r="T14">
            <v>9.9999999999999995E-7</v>
          </cell>
        </row>
        <row r="15">
          <cell r="C15">
            <v>14</v>
          </cell>
          <cell r="D15" t="str">
            <v>(0-0)</v>
          </cell>
          <cell r="E15">
            <v>9.9999999999999995E-7</v>
          </cell>
          <cell r="F15">
            <v>9.9999999999999995E-7</v>
          </cell>
          <cell r="G15">
            <v>0.99999899999999997</v>
          </cell>
          <cell r="H15">
            <v>9.9999999999999995E-7</v>
          </cell>
          <cell r="I15">
            <v>9.9999999999999995E-7</v>
          </cell>
          <cell r="J15">
            <v>9.9999999999999995E-7</v>
          </cell>
          <cell r="K15">
            <v>9.9999999999999995E-7</v>
          </cell>
          <cell r="L15">
            <v>9.9999999999999995E-7</v>
          </cell>
          <cell r="M15">
            <v>9.9999999999999995E-7</v>
          </cell>
          <cell r="N15">
            <v>9.9999999999999995E-7</v>
          </cell>
          <cell r="O15">
            <v>9.9999999999999995E-7</v>
          </cell>
          <cell r="P15">
            <v>9.9999999999999995E-7</v>
          </cell>
          <cell r="Q15">
            <v>9.9999999999999995E-7</v>
          </cell>
          <cell r="R15">
            <v>9.9999999999999995E-7</v>
          </cell>
          <cell r="S15">
            <v>9.9999999999999995E-7</v>
          </cell>
          <cell r="T15">
            <v>9.9999999999999995E-7</v>
          </cell>
        </row>
        <row r="16">
          <cell r="C16">
            <v>15</v>
          </cell>
          <cell r="D16" t="str">
            <v>(0-0)</v>
          </cell>
          <cell r="E16">
            <v>9.9999999999999995E-7</v>
          </cell>
          <cell r="F16">
            <v>0.99999899999999997</v>
          </cell>
          <cell r="G16">
            <v>9.9999999999999995E-7</v>
          </cell>
          <cell r="H16">
            <v>9.9999999999999995E-7</v>
          </cell>
          <cell r="I16">
            <v>9.9999999999999995E-7</v>
          </cell>
          <cell r="J16">
            <v>9.9999999999999995E-7</v>
          </cell>
          <cell r="K16">
            <v>9.9999999999999995E-7</v>
          </cell>
          <cell r="L16">
            <v>9.9999999999999995E-7</v>
          </cell>
          <cell r="M16">
            <v>9.9999999999999995E-7</v>
          </cell>
          <cell r="N16">
            <v>9.9999999999999995E-7</v>
          </cell>
          <cell r="O16">
            <v>9.9999999999999995E-7</v>
          </cell>
          <cell r="P16">
            <v>9.9999999999999995E-7</v>
          </cell>
          <cell r="Q16">
            <v>9.9999999999999995E-7</v>
          </cell>
          <cell r="R16">
            <v>9.9999999999999995E-7</v>
          </cell>
          <cell r="S16">
            <v>9.9999999999999995E-7</v>
          </cell>
          <cell r="T16">
            <v>9.9999999999999995E-7</v>
          </cell>
        </row>
        <row r="17">
          <cell r="C17">
            <v>16</v>
          </cell>
          <cell r="D17" t="str">
            <v>(95-1)</v>
          </cell>
          <cell r="E17">
            <v>0.99</v>
          </cell>
          <cell r="F17">
            <v>9.9999999999999995E-7</v>
          </cell>
          <cell r="G17">
            <v>9.9999999999999995E-7</v>
          </cell>
          <cell r="H17">
            <v>9.9999999999999995E-7</v>
          </cell>
          <cell r="I17">
            <v>9.9999999999999995E-7</v>
          </cell>
          <cell r="J17">
            <v>9.9999999999999995E-7</v>
          </cell>
          <cell r="K17">
            <v>9.9999999999999995E-7</v>
          </cell>
          <cell r="L17">
            <v>9.9999999999999995E-7</v>
          </cell>
          <cell r="M17">
            <v>0.99999899999999997</v>
          </cell>
          <cell r="N17">
            <v>9.9999999999999995E-7</v>
          </cell>
          <cell r="O17">
            <v>9.9999999999999995E-7</v>
          </cell>
          <cell r="P17">
            <v>9.9999999999999995E-7</v>
          </cell>
          <cell r="Q17">
            <v>9.9999999999999995E-7</v>
          </cell>
          <cell r="R17">
            <v>9.9999999999999995E-7</v>
          </cell>
          <cell r="S17">
            <v>9.9999999999999995E-7</v>
          </cell>
          <cell r="T17">
            <v>9.9999999999999995E-7</v>
          </cell>
        </row>
      </sheetData>
      <sheetData sheetId="24"/>
      <sheetData sheetId="25"/>
      <sheetData sheetId="2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gle"/>
      <sheetName val="Multi"/>
      <sheetName val="DoubleElim"/>
      <sheetName val="Results"/>
      <sheetName val="SingleJim"/>
      <sheetName val="NCAAW Data"/>
      <sheetName val="NCAAW Sim"/>
      <sheetName val="NCAA Data"/>
      <sheetName val="NCAA Sim"/>
      <sheetName val="NBA Data"/>
      <sheetName val="NBA Sim"/>
      <sheetName val="MLB Data"/>
      <sheetName val="MLB Data 2"/>
      <sheetName val="MLB Sim"/>
      <sheetName val="Financial Data"/>
      <sheetName val="10 Year Exp AVG"/>
      <sheetName val="exp vs units"/>
      <sheetName val="win units"/>
      <sheetName val="Regr_10yr"/>
      <sheetName val="win units 10yr"/>
      <sheetName val="NCAA win prob"/>
      <sheetName val="NCAAW win prob"/>
      <sheetName val="NBA win prob"/>
      <sheetName val="MLB win prob"/>
    </sheetNames>
    <sheetDataSet>
      <sheetData sheetId="0" refreshError="1"/>
      <sheetData sheetId="1" refreshError="1"/>
      <sheetData sheetId="2" refreshError="1"/>
      <sheetData sheetId="3">
        <row r="2">
          <cell r="A2" t="str">
            <v>1E</v>
          </cell>
          <cell r="B2">
            <v>0.82352941176470584</v>
          </cell>
        </row>
        <row r="3">
          <cell r="A3" t="str">
            <v>2E</v>
          </cell>
          <cell r="B3">
            <v>0.84375</v>
          </cell>
        </row>
        <row r="4">
          <cell r="A4" t="str">
            <v>3E</v>
          </cell>
          <cell r="B4">
            <v>0.76470588235294112</v>
          </cell>
        </row>
        <row r="5">
          <cell r="A5" t="str">
            <v>4E</v>
          </cell>
          <cell r="B5">
            <v>0.75757575757575757</v>
          </cell>
        </row>
        <row r="6">
          <cell r="A6" t="str">
            <v>5E</v>
          </cell>
          <cell r="B6">
            <v>0.78125</v>
          </cell>
        </row>
        <row r="7">
          <cell r="A7" t="str">
            <v>6E</v>
          </cell>
          <cell r="B7">
            <v>0.65625</v>
          </cell>
        </row>
        <row r="8">
          <cell r="A8" t="str">
            <v>7E</v>
          </cell>
          <cell r="B8">
            <v>0.625</v>
          </cell>
        </row>
        <row r="9">
          <cell r="A9" t="str">
            <v>8E</v>
          </cell>
          <cell r="B9">
            <v>0.63636363636363635</v>
          </cell>
        </row>
        <row r="10">
          <cell r="A10" t="str">
            <v>9E</v>
          </cell>
          <cell r="B10">
            <v>0.69696969696969702</v>
          </cell>
        </row>
        <row r="11">
          <cell r="A11" t="str">
            <v>10E</v>
          </cell>
          <cell r="B11">
            <v>0.65625</v>
          </cell>
        </row>
        <row r="12">
          <cell r="A12" t="str">
            <v>11E</v>
          </cell>
          <cell r="B12">
            <v>0.6470588235294118</v>
          </cell>
        </row>
        <row r="13">
          <cell r="A13" t="str">
            <v>12E</v>
          </cell>
          <cell r="B13">
            <v>0.8529411764705882</v>
          </cell>
        </row>
        <row r="14">
          <cell r="A14" t="str">
            <v>13E</v>
          </cell>
          <cell r="B14">
            <v>0.8125</v>
          </cell>
        </row>
        <row r="15">
          <cell r="A15" t="str">
            <v>14E</v>
          </cell>
          <cell r="B15">
            <v>0.84375</v>
          </cell>
        </row>
        <row r="16">
          <cell r="A16" t="str">
            <v>15E</v>
          </cell>
          <cell r="B16">
            <v>0.76470588235294112</v>
          </cell>
        </row>
        <row r="17">
          <cell r="A17" t="str">
            <v>16E</v>
          </cell>
          <cell r="B17">
            <v>0.60606060606060608</v>
          </cell>
        </row>
        <row r="18">
          <cell r="A18" t="str">
            <v>1W</v>
          </cell>
          <cell r="B18">
            <v>0.82352941176470584</v>
          </cell>
        </row>
        <row r="19">
          <cell r="A19" t="str">
            <v>2W</v>
          </cell>
          <cell r="B19">
            <v>0.78125</v>
          </cell>
        </row>
        <row r="20">
          <cell r="A20" t="str">
            <v>3W</v>
          </cell>
          <cell r="B20">
            <v>0.78787878787878785</v>
          </cell>
        </row>
        <row r="21">
          <cell r="A21" t="str">
            <v>4W</v>
          </cell>
          <cell r="B21">
            <v>0.69696969696969702</v>
          </cell>
        </row>
        <row r="22">
          <cell r="A22" t="str">
            <v>5W</v>
          </cell>
          <cell r="B22">
            <v>0.66666666666666663</v>
          </cell>
        </row>
        <row r="23">
          <cell r="A23" t="str">
            <v>6W</v>
          </cell>
          <cell r="B23">
            <v>0.625</v>
          </cell>
        </row>
        <row r="24">
          <cell r="A24" t="str">
            <v>7W</v>
          </cell>
          <cell r="B24">
            <v>0.61290322580645162</v>
          </cell>
        </row>
        <row r="25">
          <cell r="A25" t="str">
            <v>8W</v>
          </cell>
          <cell r="B25">
            <v>0.78787878787878785</v>
          </cell>
        </row>
        <row r="26">
          <cell r="A26" t="str">
            <v>9W</v>
          </cell>
          <cell r="B26">
            <v>0.6875</v>
          </cell>
        </row>
        <row r="27">
          <cell r="A27" t="str">
            <v>10W</v>
          </cell>
          <cell r="B27">
            <v>0.72727272727272729</v>
          </cell>
        </row>
        <row r="28">
          <cell r="A28" t="str">
            <v>11W</v>
          </cell>
          <cell r="B28">
            <v>0.6470588235294118</v>
          </cell>
        </row>
        <row r="29">
          <cell r="A29" t="str">
            <v>12W</v>
          </cell>
          <cell r="B29">
            <v>0.7857142857142857</v>
          </cell>
        </row>
        <row r="30">
          <cell r="A30" t="str">
            <v>13W</v>
          </cell>
          <cell r="B30">
            <v>0.78125</v>
          </cell>
        </row>
        <row r="31">
          <cell r="A31" t="str">
            <v>14W</v>
          </cell>
          <cell r="B31">
            <v>0.65714285714285714</v>
          </cell>
        </row>
        <row r="32">
          <cell r="A32" t="str">
            <v>15W</v>
          </cell>
          <cell r="B32">
            <v>0.75</v>
          </cell>
        </row>
        <row r="33">
          <cell r="A33" t="str">
            <v>16W</v>
          </cell>
          <cell r="B33">
            <v>0.42424242424242425</v>
          </cell>
        </row>
        <row r="34">
          <cell r="A34" t="str">
            <v>1S</v>
          </cell>
          <cell r="B34">
            <v>0.88235294117647056</v>
          </cell>
        </row>
        <row r="35">
          <cell r="A35" t="str">
            <v>2S</v>
          </cell>
          <cell r="B35">
            <v>0.8529411764705882</v>
          </cell>
        </row>
        <row r="36">
          <cell r="A36" t="str">
            <v>3S</v>
          </cell>
          <cell r="B36">
            <v>0.78125</v>
          </cell>
        </row>
        <row r="37">
          <cell r="A37" t="str">
            <v>4S</v>
          </cell>
          <cell r="B37">
            <v>0.69696969696969702</v>
          </cell>
        </row>
        <row r="38">
          <cell r="A38" t="str">
            <v>5S</v>
          </cell>
          <cell r="B38">
            <v>0.75757575757575757</v>
          </cell>
        </row>
        <row r="39">
          <cell r="A39" t="str">
            <v>6S</v>
          </cell>
          <cell r="B39">
            <v>0.75757575757575757</v>
          </cell>
        </row>
        <row r="40">
          <cell r="A40" t="str">
            <v>7S</v>
          </cell>
          <cell r="B40">
            <v>0.67741935483870963</v>
          </cell>
        </row>
        <row r="41">
          <cell r="A41" t="str">
            <v>8S</v>
          </cell>
          <cell r="B41">
            <v>0.66666666666666663</v>
          </cell>
        </row>
        <row r="42">
          <cell r="A42" t="str">
            <v>9S</v>
          </cell>
          <cell r="B42">
            <v>0.69696969696969702</v>
          </cell>
        </row>
        <row r="43">
          <cell r="A43" t="str">
            <v>10S</v>
          </cell>
          <cell r="B43">
            <v>0.65625</v>
          </cell>
        </row>
        <row r="44">
          <cell r="A44" t="str">
            <v>11S</v>
          </cell>
          <cell r="B44">
            <v>0.75</v>
          </cell>
        </row>
        <row r="45">
          <cell r="A45" t="str">
            <v>12S</v>
          </cell>
          <cell r="B45">
            <v>0.78787878787878785</v>
          </cell>
        </row>
        <row r="46">
          <cell r="A46" t="str">
            <v>13S</v>
          </cell>
          <cell r="B46">
            <v>0.84375</v>
          </cell>
        </row>
        <row r="47">
          <cell r="A47" t="str">
            <v>14S</v>
          </cell>
          <cell r="B47">
            <v>0.58823529411764708</v>
          </cell>
        </row>
        <row r="48">
          <cell r="A48" t="str">
            <v>15S</v>
          </cell>
          <cell r="B48">
            <v>0.66666666666666663</v>
          </cell>
        </row>
        <row r="49">
          <cell r="A49" t="str">
            <v>16S</v>
          </cell>
          <cell r="B49">
            <v>0.5</v>
          </cell>
        </row>
        <row r="50">
          <cell r="A50" t="str">
            <v>1M</v>
          </cell>
          <cell r="B50">
            <v>0.78787878787878785</v>
          </cell>
        </row>
        <row r="51">
          <cell r="A51" t="str">
            <v>2M</v>
          </cell>
          <cell r="B51">
            <v>0.84848484848484851</v>
          </cell>
        </row>
        <row r="52">
          <cell r="A52" t="str">
            <v>3M</v>
          </cell>
          <cell r="B52">
            <v>0.76470588235294112</v>
          </cell>
        </row>
        <row r="53">
          <cell r="A53" t="str">
            <v>4M</v>
          </cell>
          <cell r="B53">
            <v>0.65625</v>
          </cell>
        </row>
        <row r="54">
          <cell r="A54" t="str">
            <v>5M</v>
          </cell>
          <cell r="B54">
            <v>0.78787878787878785</v>
          </cell>
        </row>
        <row r="55">
          <cell r="A55" t="str">
            <v>6M</v>
          </cell>
          <cell r="B55">
            <v>0.75757575757575757</v>
          </cell>
        </row>
        <row r="56">
          <cell r="A56" t="str">
            <v>7M</v>
          </cell>
          <cell r="B56">
            <v>0.78125</v>
          </cell>
        </row>
        <row r="57">
          <cell r="A57" t="str">
            <v>8M</v>
          </cell>
          <cell r="B57">
            <v>0.61290322580645162</v>
          </cell>
        </row>
        <row r="58">
          <cell r="A58" t="str">
            <v>9M</v>
          </cell>
          <cell r="B58">
            <v>0.67741935483870963</v>
          </cell>
        </row>
        <row r="59">
          <cell r="A59" t="str">
            <v>10M</v>
          </cell>
          <cell r="B59">
            <v>0.59375</v>
          </cell>
        </row>
        <row r="60">
          <cell r="A60" t="str">
            <v>11M</v>
          </cell>
          <cell r="B60">
            <v>0.78787878787878785</v>
          </cell>
        </row>
        <row r="61">
          <cell r="A61" t="str">
            <v>12M</v>
          </cell>
          <cell r="B61">
            <v>0.875</v>
          </cell>
        </row>
        <row r="62">
          <cell r="A62" t="str">
            <v>13M</v>
          </cell>
          <cell r="B62">
            <v>0.6875</v>
          </cell>
        </row>
        <row r="63">
          <cell r="A63" t="str">
            <v>14M</v>
          </cell>
          <cell r="B63">
            <v>0.73529411764705888</v>
          </cell>
        </row>
        <row r="64">
          <cell r="A64" t="str">
            <v>15M</v>
          </cell>
          <cell r="B64">
            <v>0.72727272727272729</v>
          </cell>
        </row>
        <row r="65">
          <cell r="A65" t="str">
            <v>16M</v>
          </cell>
          <cell r="B65">
            <v>0.67741935483870963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30"/>
  <sheetViews>
    <sheetView workbookViewId="0">
      <selection activeCell="E2" sqref="E2"/>
    </sheetView>
  </sheetViews>
  <sheetFormatPr defaultRowHeight="14.5" x14ac:dyDescent="0.35"/>
  <cols>
    <col min="2" max="2" width="13.08984375" customWidth="1"/>
    <col min="5" max="5" width="9.54296875" bestFit="1" customWidth="1"/>
  </cols>
  <sheetData>
    <row r="1" spans="2:10" x14ac:dyDescent="0.35">
      <c r="D1" t="s">
        <v>2</v>
      </c>
      <c r="E1" s="19">
        <v>7</v>
      </c>
      <c r="G1" t="s">
        <v>2</v>
      </c>
      <c r="H1" s="19">
        <v>7</v>
      </c>
    </row>
    <row r="2" spans="2:10" x14ac:dyDescent="0.35">
      <c r="B2" s="6" t="s">
        <v>163</v>
      </c>
      <c r="D2" t="s">
        <v>3</v>
      </c>
      <c r="E2" s="20">
        <f>C4*(1-C5)/(C4*(1-C5)+C5*(1-C4))</f>
        <v>0.57172131147540983</v>
      </c>
      <c r="G2" t="s">
        <v>3</v>
      </c>
      <c r="H2" s="20">
        <f ca="1">G7*(1-G8)/(G7*(1-G8)+G8*(1-G7))</f>
        <v>0.54159733777038277</v>
      </c>
    </row>
    <row r="3" spans="2:10" x14ac:dyDescent="0.35">
      <c r="B3" s="6"/>
      <c r="E3" s="20"/>
      <c r="H3" s="20"/>
    </row>
    <row r="4" spans="2:10" x14ac:dyDescent="0.35">
      <c r="B4" t="s">
        <v>0</v>
      </c>
      <c r="C4" s="22">
        <v>0.62</v>
      </c>
      <c r="E4" s="21" t="s">
        <v>165</v>
      </c>
      <c r="F4" s="6" t="s">
        <v>162</v>
      </c>
    </row>
    <row r="5" spans="2:10" x14ac:dyDescent="0.35">
      <c r="B5" t="s">
        <v>1</v>
      </c>
      <c r="C5" s="22">
        <v>0.55000000000000004</v>
      </c>
      <c r="E5">
        <f ca="1">_xlfn.BINOM.INV(E1,E2,RAND())</f>
        <v>5</v>
      </c>
      <c r="F5" s="2" t="str">
        <f ca="1">IF(E5&gt;=4,"A","B")</f>
        <v>A</v>
      </c>
    </row>
    <row r="6" spans="2:10" x14ac:dyDescent="0.35">
      <c r="C6" s="14"/>
    </row>
    <row r="7" spans="2:10" x14ac:dyDescent="0.35">
      <c r="C7" s="14"/>
      <c r="D7" t="s">
        <v>2</v>
      </c>
      <c r="E7" s="19">
        <v>7</v>
      </c>
      <c r="G7">
        <f ca="1">IF(F5="A",C4,C5)</f>
        <v>0.62</v>
      </c>
      <c r="J7" s="6" t="s">
        <v>164</v>
      </c>
    </row>
    <row r="8" spans="2:10" x14ac:dyDescent="0.35">
      <c r="C8" s="14"/>
      <c r="D8" t="s">
        <v>3</v>
      </c>
      <c r="E8">
        <f>C10*(1-C11)/(C10*(1-C11)+C11*(1-C10))</f>
        <v>0.5</v>
      </c>
      <c r="G8">
        <f ca="1">IF(F11="A",C10,C11)</f>
        <v>0.57999999999999996</v>
      </c>
      <c r="I8">
        <f ca="1">_xlfn.BINOM.INV(H1,H2,RAND())</f>
        <v>7</v>
      </c>
      <c r="J8" s="2" t="str">
        <f ca="1">IF(I8&gt;=4,F5,F11)</f>
        <v>A</v>
      </c>
    </row>
    <row r="9" spans="2:10" x14ac:dyDescent="0.35">
      <c r="C9" s="14"/>
      <c r="J9" s="2"/>
    </row>
    <row r="10" spans="2:10" x14ac:dyDescent="0.35">
      <c r="B10" t="s">
        <v>4</v>
      </c>
      <c r="C10" s="22">
        <v>0.57999999999999996</v>
      </c>
      <c r="E10" s="21" t="s">
        <v>166</v>
      </c>
    </row>
    <row r="11" spans="2:10" x14ac:dyDescent="0.35">
      <c r="B11" t="s">
        <v>5</v>
      </c>
      <c r="C11" s="22">
        <v>0.57999999999999996</v>
      </c>
      <c r="E11">
        <f ca="1">_xlfn.BINOM.INV(E7,E8,RAND())</f>
        <v>3</v>
      </c>
      <c r="F11" s="2" t="str">
        <f ca="1">IF(E11&gt;=4,"C","D")</f>
        <v>D</v>
      </c>
    </row>
    <row r="24" spans="2:4" x14ac:dyDescent="0.35">
      <c r="B24" s="6"/>
      <c r="C24" s="6" t="s">
        <v>10</v>
      </c>
      <c r="D24" s="6" t="s">
        <v>11</v>
      </c>
    </row>
    <row r="25" spans="2:4" x14ac:dyDescent="0.35">
      <c r="B25" s="1" t="s">
        <v>6</v>
      </c>
      <c r="C25" s="3">
        <v>83</v>
      </c>
      <c r="D25" s="5">
        <f>C25/$C$30</f>
        <v>0.41499999999999998</v>
      </c>
    </row>
    <row r="26" spans="2:4" x14ac:dyDescent="0.35">
      <c r="B26" s="1" t="s">
        <v>7</v>
      </c>
      <c r="C26" s="4">
        <v>23</v>
      </c>
      <c r="D26" s="5">
        <f t="shared" ref="D26:D28" si="0">C26/$C$30</f>
        <v>0.115</v>
      </c>
    </row>
    <row r="27" spans="2:4" x14ac:dyDescent="0.35">
      <c r="B27" s="1" t="s">
        <v>8</v>
      </c>
      <c r="C27" s="4">
        <v>54</v>
      </c>
      <c r="D27" s="5">
        <f t="shared" si="0"/>
        <v>0.27</v>
      </c>
    </row>
    <row r="28" spans="2:4" x14ac:dyDescent="0.35">
      <c r="B28" s="1" t="s">
        <v>9</v>
      </c>
      <c r="C28" s="4">
        <v>40</v>
      </c>
      <c r="D28" s="5">
        <f t="shared" si="0"/>
        <v>0.2</v>
      </c>
    </row>
    <row r="29" spans="2:4" x14ac:dyDescent="0.35">
      <c r="B29" s="1"/>
      <c r="C29" s="1"/>
      <c r="D29" s="1"/>
    </row>
    <row r="30" spans="2:4" x14ac:dyDescent="0.35">
      <c r="B30" s="1"/>
      <c r="C30" s="1">
        <f>SUM(C25:C28)</f>
        <v>200</v>
      </c>
      <c r="D30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49976-E429-4F8A-998F-18E42A3BB619}">
  <sheetPr codeName="Sheet4"/>
  <dimension ref="A1:F31"/>
  <sheetViews>
    <sheetView topLeftCell="A12" workbookViewId="0">
      <selection activeCell="A17" sqref="A17:E31"/>
    </sheetView>
  </sheetViews>
  <sheetFormatPr defaultRowHeight="14.5" x14ac:dyDescent="0.35"/>
  <cols>
    <col min="1" max="1" width="22.08984375" bestFit="1" customWidth="1"/>
    <col min="3" max="3" width="10.7265625" bestFit="1" customWidth="1"/>
    <col min="4" max="4" width="12.90625" bestFit="1" customWidth="1"/>
    <col min="5" max="5" width="11.81640625" bestFit="1" customWidth="1"/>
  </cols>
  <sheetData>
    <row r="1" spans="1:6" x14ac:dyDescent="0.35">
      <c r="A1" t="s">
        <v>167</v>
      </c>
      <c r="B1" t="s">
        <v>205</v>
      </c>
      <c r="C1" t="s">
        <v>207</v>
      </c>
      <c r="D1" t="s">
        <v>169</v>
      </c>
      <c r="E1" s="14" t="s">
        <v>168</v>
      </c>
    </row>
    <row r="2" spans="1:6" x14ac:dyDescent="0.35">
      <c r="A2" t="s">
        <v>174</v>
      </c>
      <c r="B2">
        <v>24</v>
      </c>
      <c r="C2">
        <f t="shared" ref="C2:C31" si="0">82-B2</f>
        <v>58</v>
      </c>
      <c r="D2">
        <f t="shared" ref="D2:D31" si="1">B2+C2</f>
        <v>82</v>
      </c>
      <c r="E2" s="14">
        <f t="shared" ref="E2:E31" si="2">B2/D2</f>
        <v>0.29268292682926828</v>
      </c>
      <c r="F2" t="s">
        <v>211</v>
      </c>
    </row>
    <row r="3" spans="1:6" x14ac:dyDescent="0.35">
      <c r="A3" t="s">
        <v>175</v>
      </c>
      <c r="B3">
        <v>55</v>
      </c>
      <c r="C3">
        <f t="shared" si="0"/>
        <v>27</v>
      </c>
      <c r="D3">
        <f t="shared" si="1"/>
        <v>82</v>
      </c>
      <c r="E3" s="14">
        <f t="shared" si="2"/>
        <v>0.67073170731707321</v>
      </c>
      <c r="F3" t="s">
        <v>211</v>
      </c>
    </row>
    <row r="4" spans="1:6" x14ac:dyDescent="0.35">
      <c r="A4" t="s">
        <v>176</v>
      </c>
      <c r="B4">
        <v>28</v>
      </c>
      <c r="C4">
        <f t="shared" si="0"/>
        <v>54</v>
      </c>
      <c r="D4">
        <f t="shared" si="1"/>
        <v>82</v>
      </c>
      <c r="E4" s="14">
        <f t="shared" si="2"/>
        <v>0.34146341463414637</v>
      </c>
      <c r="F4" t="s">
        <v>211</v>
      </c>
    </row>
    <row r="5" spans="1:6" x14ac:dyDescent="0.35">
      <c r="A5" t="s">
        <v>177</v>
      </c>
      <c r="B5">
        <v>36</v>
      </c>
      <c r="C5">
        <f t="shared" si="0"/>
        <v>46</v>
      </c>
      <c r="D5">
        <f t="shared" si="1"/>
        <v>82</v>
      </c>
      <c r="E5" s="14">
        <f t="shared" si="2"/>
        <v>0.43902439024390244</v>
      </c>
      <c r="F5" t="s">
        <v>211</v>
      </c>
    </row>
    <row r="6" spans="1:6" x14ac:dyDescent="0.35">
      <c r="A6" t="s">
        <v>178</v>
      </c>
      <c r="B6">
        <v>27</v>
      </c>
      <c r="C6">
        <f t="shared" si="0"/>
        <v>55</v>
      </c>
      <c r="D6">
        <f t="shared" si="1"/>
        <v>82</v>
      </c>
      <c r="E6" s="14">
        <f t="shared" si="2"/>
        <v>0.32926829268292684</v>
      </c>
      <c r="F6" t="s">
        <v>211</v>
      </c>
    </row>
    <row r="7" spans="1:6" x14ac:dyDescent="0.35">
      <c r="A7" t="s">
        <v>179</v>
      </c>
      <c r="B7">
        <v>50</v>
      </c>
      <c r="C7">
        <f t="shared" si="0"/>
        <v>32</v>
      </c>
      <c r="D7">
        <f t="shared" si="1"/>
        <v>82</v>
      </c>
      <c r="E7" s="14">
        <f t="shared" si="2"/>
        <v>0.6097560975609756</v>
      </c>
      <c r="F7" t="s">
        <v>211</v>
      </c>
    </row>
    <row r="8" spans="1:6" x14ac:dyDescent="0.35">
      <c r="A8" t="s">
        <v>182</v>
      </c>
      <c r="B8">
        <v>39</v>
      </c>
      <c r="C8">
        <f t="shared" si="0"/>
        <v>43</v>
      </c>
      <c r="D8">
        <f t="shared" si="1"/>
        <v>82</v>
      </c>
      <c r="E8" s="14">
        <f t="shared" si="2"/>
        <v>0.47560975609756095</v>
      </c>
      <c r="F8" t="s">
        <v>211</v>
      </c>
    </row>
    <row r="9" spans="1:6" x14ac:dyDescent="0.35">
      <c r="A9" t="s">
        <v>185</v>
      </c>
      <c r="B9">
        <v>48</v>
      </c>
      <c r="C9">
        <f t="shared" si="0"/>
        <v>34</v>
      </c>
      <c r="D9">
        <f t="shared" si="1"/>
        <v>82</v>
      </c>
      <c r="E9" s="14">
        <f t="shared" si="2"/>
        <v>0.58536585365853655</v>
      </c>
      <c r="F9" t="s">
        <v>211</v>
      </c>
    </row>
    <row r="10" spans="1:6" x14ac:dyDescent="0.35">
      <c r="A10" t="s">
        <v>189</v>
      </c>
      <c r="B10">
        <v>43.999999999999901</v>
      </c>
      <c r="C10">
        <f t="shared" si="0"/>
        <v>38.000000000000099</v>
      </c>
      <c r="D10">
        <f t="shared" si="1"/>
        <v>82</v>
      </c>
      <c r="E10" s="14">
        <f t="shared" si="2"/>
        <v>0.53658536585365735</v>
      </c>
      <c r="F10" t="s">
        <v>211</v>
      </c>
    </row>
    <row r="11" spans="1:6" x14ac:dyDescent="0.35">
      <c r="A11" t="s">
        <v>190</v>
      </c>
      <c r="B11">
        <v>44</v>
      </c>
      <c r="C11">
        <f t="shared" si="0"/>
        <v>38</v>
      </c>
      <c r="D11">
        <f t="shared" si="1"/>
        <v>82</v>
      </c>
      <c r="E11" s="14">
        <f t="shared" si="2"/>
        <v>0.53658536585365857</v>
      </c>
      <c r="F11" t="s">
        <v>211</v>
      </c>
    </row>
    <row r="12" spans="1:6" x14ac:dyDescent="0.35">
      <c r="A12" t="s">
        <v>193</v>
      </c>
      <c r="B12">
        <v>29</v>
      </c>
      <c r="C12">
        <f t="shared" si="0"/>
        <v>53</v>
      </c>
      <c r="D12">
        <f t="shared" si="1"/>
        <v>82</v>
      </c>
      <c r="E12" s="14">
        <f t="shared" si="2"/>
        <v>0.35365853658536583</v>
      </c>
      <c r="F12" t="s">
        <v>211</v>
      </c>
    </row>
    <row r="13" spans="1:6" x14ac:dyDescent="0.35">
      <c r="A13" t="s">
        <v>195</v>
      </c>
      <c r="B13">
        <v>25</v>
      </c>
      <c r="C13">
        <f t="shared" si="0"/>
        <v>57</v>
      </c>
      <c r="D13">
        <f t="shared" si="1"/>
        <v>82</v>
      </c>
      <c r="E13" s="14">
        <f t="shared" si="2"/>
        <v>0.3048780487804878</v>
      </c>
      <c r="F13" t="s">
        <v>211</v>
      </c>
    </row>
    <row r="14" spans="1:6" x14ac:dyDescent="0.35">
      <c r="A14" t="s">
        <v>196</v>
      </c>
      <c r="B14">
        <v>52</v>
      </c>
      <c r="C14">
        <f t="shared" si="0"/>
        <v>30</v>
      </c>
      <c r="D14">
        <f t="shared" si="1"/>
        <v>82</v>
      </c>
      <c r="E14" s="14">
        <f t="shared" si="2"/>
        <v>0.63414634146341464</v>
      </c>
      <c r="F14" t="s">
        <v>211</v>
      </c>
    </row>
    <row r="15" spans="1:6" x14ac:dyDescent="0.35">
      <c r="A15" t="s">
        <v>201</v>
      </c>
      <c r="B15">
        <v>59</v>
      </c>
      <c r="C15">
        <f t="shared" si="0"/>
        <v>23</v>
      </c>
      <c r="D15">
        <f t="shared" si="1"/>
        <v>82</v>
      </c>
      <c r="E15" s="14">
        <f t="shared" si="2"/>
        <v>0.71951219512195119</v>
      </c>
      <c r="F15" t="s">
        <v>211</v>
      </c>
    </row>
    <row r="16" spans="1:6" x14ac:dyDescent="0.35">
      <c r="A16" t="s">
        <v>203</v>
      </c>
      <c r="B16">
        <v>43</v>
      </c>
      <c r="C16">
        <f t="shared" si="0"/>
        <v>39</v>
      </c>
      <c r="D16">
        <f t="shared" si="1"/>
        <v>82</v>
      </c>
      <c r="E16" s="14">
        <f t="shared" si="2"/>
        <v>0.52439024390243905</v>
      </c>
      <c r="F16" t="s">
        <v>211</v>
      </c>
    </row>
    <row r="17" spans="1:6" x14ac:dyDescent="0.35">
      <c r="A17" t="s">
        <v>180</v>
      </c>
      <c r="B17">
        <v>24</v>
      </c>
      <c r="C17">
        <f t="shared" si="0"/>
        <v>58</v>
      </c>
      <c r="D17">
        <f t="shared" si="1"/>
        <v>82</v>
      </c>
      <c r="E17" s="14">
        <f t="shared" si="2"/>
        <v>0.29268292682926828</v>
      </c>
      <c r="F17" t="s">
        <v>204</v>
      </c>
    </row>
    <row r="18" spans="1:6" x14ac:dyDescent="0.35">
      <c r="A18" t="s">
        <v>181</v>
      </c>
      <c r="B18">
        <v>46</v>
      </c>
      <c r="C18">
        <f t="shared" si="0"/>
        <v>36</v>
      </c>
      <c r="D18">
        <f t="shared" si="1"/>
        <v>82</v>
      </c>
      <c r="E18" s="14">
        <f t="shared" si="2"/>
        <v>0.56097560975609762</v>
      </c>
      <c r="F18" t="s">
        <v>204</v>
      </c>
    </row>
    <row r="19" spans="1:6" x14ac:dyDescent="0.35">
      <c r="A19" t="s">
        <v>183</v>
      </c>
      <c r="B19">
        <v>58</v>
      </c>
      <c r="C19">
        <f t="shared" si="0"/>
        <v>24</v>
      </c>
      <c r="D19">
        <f t="shared" si="1"/>
        <v>82</v>
      </c>
      <c r="E19" s="14">
        <f t="shared" si="2"/>
        <v>0.70731707317073167</v>
      </c>
      <c r="F19" t="s">
        <v>204</v>
      </c>
    </row>
    <row r="20" spans="1:6" x14ac:dyDescent="0.35">
      <c r="A20" t="s">
        <v>184</v>
      </c>
      <c r="B20">
        <v>65</v>
      </c>
      <c r="C20">
        <f t="shared" si="0"/>
        <v>17</v>
      </c>
      <c r="D20">
        <f t="shared" si="1"/>
        <v>82</v>
      </c>
      <c r="E20" s="14">
        <f t="shared" si="2"/>
        <v>0.79268292682926833</v>
      </c>
      <c r="F20" t="s">
        <v>204</v>
      </c>
    </row>
    <row r="21" spans="1:6" x14ac:dyDescent="0.35">
      <c r="A21" t="s">
        <v>186</v>
      </c>
      <c r="B21">
        <v>42</v>
      </c>
      <c r="C21">
        <f t="shared" si="0"/>
        <v>40</v>
      </c>
      <c r="D21">
        <f t="shared" si="1"/>
        <v>82</v>
      </c>
      <c r="E21" s="14">
        <f t="shared" si="2"/>
        <v>0.51219512195121952</v>
      </c>
      <c r="F21" t="s">
        <v>204</v>
      </c>
    </row>
    <row r="22" spans="1:6" x14ac:dyDescent="0.35">
      <c r="A22" t="s">
        <v>187</v>
      </c>
      <c r="B22">
        <v>35</v>
      </c>
      <c r="C22">
        <f t="shared" si="0"/>
        <v>47</v>
      </c>
      <c r="D22">
        <f t="shared" si="1"/>
        <v>82</v>
      </c>
      <c r="E22" s="14">
        <f t="shared" si="2"/>
        <v>0.42682926829268292</v>
      </c>
      <c r="F22" t="s">
        <v>204</v>
      </c>
    </row>
    <row r="23" spans="1:6" x14ac:dyDescent="0.35">
      <c r="A23" t="s">
        <v>188</v>
      </c>
      <c r="B23">
        <v>22</v>
      </c>
      <c r="C23">
        <f t="shared" si="0"/>
        <v>60</v>
      </c>
      <c r="D23">
        <f t="shared" si="1"/>
        <v>82</v>
      </c>
      <c r="E23" s="14">
        <f t="shared" si="2"/>
        <v>0.26829268292682928</v>
      </c>
      <c r="F23" t="s">
        <v>204</v>
      </c>
    </row>
    <row r="24" spans="1:6" x14ac:dyDescent="0.35">
      <c r="A24" t="s">
        <v>191</v>
      </c>
      <c r="B24">
        <v>47</v>
      </c>
      <c r="C24">
        <f t="shared" si="0"/>
        <v>35</v>
      </c>
      <c r="D24">
        <f t="shared" si="1"/>
        <v>82</v>
      </c>
      <c r="E24" s="14">
        <f t="shared" si="2"/>
        <v>0.57317073170731703</v>
      </c>
      <c r="F24" t="s">
        <v>204</v>
      </c>
    </row>
    <row r="25" spans="1:6" x14ac:dyDescent="0.35">
      <c r="A25" t="s">
        <v>192</v>
      </c>
      <c r="B25">
        <v>47.999999999999901</v>
      </c>
      <c r="C25">
        <f t="shared" si="0"/>
        <v>34.000000000000099</v>
      </c>
      <c r="D25">
        <f t="shared" si="1"/>
        <v>82</v>
      </c>
      <c r="E25" s="14">
        <f t="shared" si="2"/>
        <v>0.58536585365853533</v>
      </c>
      <c r="F25" t="s">
        <v>204</v>
      </c>
    </row>
    <row r="26" spans="1:6" x14ac:dyDescent="0.35">
      <c r="A26" t="s">
        <v>194</v>
      </c>
      <c r="B26">
        <v>48</v>
      </c>
      <c r="C26">
        <f t="shared" si="0"/>
        <v>34</v>
      </c>
      <c r="D26">
        <f t="shared" si="1"/>
        <v>82</v>
      </c>
      <c r="E26" s="14">
        <f t="shared" si="2"/>
        <v>0.58536585365853655</v>
      </c>
      <c r="F26" t="s">
        <v>204</v>
      </c>
    </row>
    <row r="27" spans="1:6" x14ac:dyDescent="0.35">
      <c r="A27" t="s">
        <v>197</v>
      </c>
      <c r="B27">
        <v>21</v>
      </c>
      <c r="C27">
        <f t="shared" si="0"/>
        <v>61</v>
      </c>
      <c r="D27">
        <f t="shared" si="1"/>
        <v>82</v>
      </c>
      <c r="E27" s="14">
        <f t="shared" si="2"/>
        <v>0.25609756097560976</v>
      </c>
      <c r="F27" t="s">
        <v>204</v>
      </c>
    </row>
    <row r="28" spans="1:6" x14ac:dyDescent="0.35">
      <c r="A28" t="s">
        <v>198</v>
      </c>
      <c r="B28">
        <v>49</v>
      </c>
      <c r="C28">
        <f t="shared" si="0"/>
        <v>33</v>
      </c>
      <c r="D28">
        <f t="shared" si="1"/>
        <v>82</v>
      </c>
      <c r="E28" s="14">
        <f t="shared" si="2"/>
        <v>0.59756097560975607</v>
      </c>
      <c r="F28" t="s">
        <v>204</v>
      </c>
    </row>
    <row r="29" spans="1:6" x14ac:dyDescent="0.35">
      <c r="A29" t="s">
        <v>199</v>
      </c>
      <c r="B29">
        <v>27</v>
      </c>
      <c r="C29">
        <f t="shared" si="0"/>
        <v>55</v>
      </c>
      <c r="D29">
        <f t="shared" si="1"/>
        <v>82</v>
      </c>
      <c r="E29" s="14">
        <f t="shared" si="2"/>
        <v>0.32926829268292684</v>
      </c>
      <c r="F29" t="s">
        <v>204</v>
      </c>
    </row>
    <row r="30" spans="1:6" x14ac:dyDescent="0.35">
      <c r="A30" t="s">
        <v>200</v>
      </c>
      <c r="B30">
        <v>47</v>
      </c>
      <c r="C30">
        <f t="shared" si="0"/>
        <v>35</v>
      </c>
      <c r="D30">
        <f t="shared" si="1"/>
        <v>82</v>
      </c>
      <c r="E30" s="14">
        <f t="shared" si="2"/>
        <v>0.57317073170731703</v>
      </c>
      <c r="F30" t="s">
        <v>204</v>
      </c>
    </row>
    <row r="31" spans="1:6" x14ac:dyDescent="0.35">
      <c r="A31" t="s">
        <v>202</v>
      </c>
      <c r="B31">
        <v>48</v>
      </c>
      <c r="C31">
        <f t="shared" si="0"/>
        <v>34</v>
      </c>
      <c r="D31">
        <f t="shared" si="1"/>
        <v>82</v>
      </c>
      <c r="E31" s="14">
        <f t="shared" si="2"/>
        <v>0.58536585365853655</v>
      </c>
      <c r="F31" t="s">
        <v>204</v>
      </c>
    </row>
  </sheetData>
  <sortState xmlns:xlrd2="http://schemas.microsoft.com/office/spreadsheetml/2017/richdata2" ref="A2:F31">
    <sortCondition ref="F12:F3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186A2-361C-4591-A91F-79F370F48666}">
  <sheetPr codeName="Sheet12"/>
  <dimension ref="A1:J17"/>
  <sheetViews>
    <sheetView workbookViewId="0">
      <selection activeCell="A9" sqref="A9"/>
    </sheetView>
  </sheetViews>
  <sheetFormatPr defaultRowHeight="14.5" x14ac:dyDescent="0.35"/>
  <cols>
    <col min="1" max="1" width="22.08984375" bestFit="1" customWidth="1"/>
    <col min="2" max="2" width="10.90625" bestFit="1" customWidth="1"/>
    <col min="3" max="3" width="10.7265625" bestFit="1" customWidth="1"/>
    <col min="4" max="4" width="12.90625" bestFit="1" customWidth="1"/>
    <col min="5" max="5" width="11.81640625" bestFit="1" customWidth="1"/>
  </cols>
  <sheetData>
    <row r="1" spans="1:10" x14ac:dyDescent="0.35">
      <c r="A1" s="56" t="s">
        <v>208</v>
      </c>
      <c r="B1" s="56"/>
      <c r="C1" s="56"/>
      <c r="D1" s="56"/>
      <c r="E1" s="56"/>
    </row>
    <row r="2" spans="1:10" ht="15" thickBot="1" x14ac:dyDescent="0.4">
      <c r="A2" s="51" t="s">
        <v>167</v>
      </c>
      <c r="B2" s="51" t="s">
        <v>206</v>
      </c>
      <c r="C2" s="51" t="s">
        <v>207</v>
      </c>
      <c r="D2" s="51" t="s">
        <v>169</v>
      </c>
      <c r="E2" s="52" t="s">
        <v>168</v>
      </c>
    </row>
    <row r="3" spans="1:10" ht="14.5" customHeight="1" x14ac:dyDescent="0.35">
      <c r="A3" s="24" t="s">
        <v>201</v>
      </c>
      <c r="B3" s="25">
        <v>59</v>
      </c>
      <c r="C3" s="25">
        <f t="shared" ref="C3:C17" si="0">82-B3</f>
        <v>23</v>
      </c>
      <c r="D3" s="25">
        <f t="shared" ref="D3:D17" si="1">B3+C3</f>
        <v>82</v>
      </c>
      <c r="E3" s="48">
        <f t="shared" ref="E3:E17" si="2">B3/D3</f>
        <v>0.71951219512195119</v>
      </c>
      <c r="F3" s="57" t="s">
        <v>209</v>
      </c>
      <c r="G3" s="58"/>
    </row>
    <row r="4" spans="1:10" x14ac:dyDescent="0.35">
      <c r="A4" s="27" t="s">
        <v>175</v>
      </c>
      <c r="B4" s="28">
        <v>55</v>
      </c>
      <c r="C4" s="28">
        <f t="shared" si="0"/>
        <v>27</v>
      </c>
      <c r="D4" s="28">
        <f t="shared" si="1"/>
        <v>82</v>
      </c>
      <c r="E4" s="49">
        <f t="shared" si="2"/>
        <v>0.67073170731707321</v>
      </c>
      <c r="F4" s="57"/>
      <c r="G4" s="58"/>
    </row>
    <row r="5" spans="1:10" x14ac:dyDescent="0.35">
      <c r="A5" s="27" t="s">
        <v>196</v>
      </c>
      <c r="B5" s="28">
        <v>52</v>
      </c>
      <c r="C5" s="28">
        <f t="shared" si="0"/>
        <v>30</v>
      </c>
      <c r="D5" s="28">
        <f t="shared" si="1"/>
        <v>82</v>
      </c>
      <c r="E5" s="49">
        <f t="shared" si="2"/>
        <v>0.63414634146341464</v>
      </c>
    </row>
    <row r="6" spans="1:10" x14ac:dyDescent="0.35">
      <c r="A6" s="27" t="s">
        <v>179</v>
      </c>
      <c r="B6" s="28">
        <v>50</v>
      </c>
      <c r="C6" s="28">
        <f t="shared" si="0"/>
        <v>32</v>
      </c>
      <c r="D6" s="28">
        <f t="shared" si="1"/>
        <v>82</v>
      </c>
      <c r="E6" s="49">
        <f t="shared" si="2"/>
        <v>0.6097560975609756</v>
      </c>
    </row>
    <row r="7" spans="1:10" x14ac:dyDescent="0.35">
      <c r="A7" s="27" t="s">
        <v>185</v>
      </c>
      <c r="B7" s="28">
        <v>48</v>
      </c>
      <c r="C7" s="28">
        <f t="shared" si="0"/>
        <v>34</v>
      </c>
      <c r="D7" s="28">
        <f t="shared" si="1"/>
        <v>82</v>
      </c>
      <c r="E7" s="49">
        <f t="shared" si="2"/>
        <v>0.58536585365853655</v>
      </c>
    </row>
    <row r="8" spans="1:10" x14ac:dyDescent="0.35">
      <c r="A8" s="27" t="s">
        <v>190</v>
      </c>
      <c r="B8" s="28">
        <v>44</v>
      </c>
      <c r="C8" s="28">
        <f t="shared" si="0"/>
        <v>38</v>
      </c>
      <c r="D8" s="28">
        <f t="shared" si="1"/>
        <v>82</v>
      </c>
      <c r="E8" s="49">
        <f t="shared" si="2"/>
        <v>0.53658536585365857</v>
      </c>
    </row>
    <row r="9" spans="1:10" x14ac:dyDescent="0.35">
      <c r="A9" s="27" t="s">
        <v>189</v>
      </c>
      <c r="B9" s="28">
        <v>43.999999999999901</v>
      </c>
      <c r="C9" s="28">
        <f t="shared" si="0"/>
        <v>38.000000000000099</v>
      </c>
      <c r="D9" s="28">
        <f t="shared" si="1"/>
        <v>82</v>
      </c>
      <c r="E9" s="49">
        <f t="shared" si="2"/>
        <v>0.53658536585365735</v>
      </c>
      <c r="J9" s="14"/>
    </row>
    <row r="10" spans="1:10" ht="15" thickBot="1" x14ac:dyDescent="0.4">
      <c r="A10" s="38" t="s">
        <v>203</v>
      </c>
      <c r="B10" s="33">
        <v>43</v>
      </c>
      <c r="C10" s="33">
        <f t="shared" si="0"/>
        <v>39</v>
      </c>
      <c r="D10" s="33">
        <f t="shared" si="1"/>
        <v>82</v>
      </c>
      <c r="E10" s="50">
        <f t="shared" si="2"/>
        <v>0.52439024390243905</v>
      </c>
    </row>
    <row r="11" spans="1:10" x14ac:dyDescent="0.35">
      <c r="A11" t="s">
        <v>182</v>
      </c>
      <c r="B11">
        <v>39</v>
      </c>
      <c r="C11">
        <f t="shared" si="0"/>
        <v>43</v>
      </c>
      <c r="D11">
        <f t="shared" si="1"/>
        <v>82</v>
      </c>
      <c r="E11" s="14">
        <f t="shared" si="2"/>
        <v>0.47560975609756095</v>
      </c>
    </row>
    <row r="12" spans="1:10" x14ac:dyDescent="0.35">
      <c r="A12" t="s">
        <v>177</v>
      </c>
      <c r="B12">
        <v>36</v>
      </c>
      <c r="C12">
        <f t="shared" si="0"/>
        <v>46</v>
      </c>
      <c r="D12">
        <f t="shared" si="1"/>
        <v>82</v>
      </c>
      <c r="E12" s="14">
        <f t="shared" si="2"/>
        <v>0.43902439024390244</v>
      </c>
    </row>
    <row r="13" spans="1:10" x14ac:dyDescent="0.35">
      <c r="A13" t="s">
        <v>193</v>
      </c>
      <c r="B13">
        <v>29</v>
      </c>
      <c r="C13">
        <f t="shared" si="0"/>
        <v>53</v>
      </c>
      <c r="D13">
        <f t="shared" si="1"/>
        <v>82</v>
      </c>
      <c r="E13" s="14">
        <f t="shared" si="2"/>
        <v>0.35365853658536583</v>
      </c>
    </row>
    <row r="14" spans="1:10" x14ac:dyDescent="0.35">
      <c r="A14" t="s">
        <v>176</v>
      </c>
      <c r="B14">
        <v>28</v>
      </c>
      <c r="C14">
        <f t="shared" si="0"/>
        <v>54</v>
      </c>
      <c r="D14">
        <f t="shared" si="1"/>
        <v>82</v>
      </c>
      <c r="E14" s="14">
        <f t="shared" si="2"/>
        <v>0.34146341463414637</v>
      </c>
    </row>
    <row r="15" spans="1:10" x14ac:dyDescent="0.35">
      <c r="A15" t="s">
        <v>178</v>
      </c>
      <c r="B15">
        <v>27</v>
      </c>
      <c r="C15">
        <f t="shared" si="0"/>
        <v>55</v>
      </c>
      <c r="D15">
        <f t="shared" si="1"/>
        <v>82</v>
      </c>
      <c r="E15" s="14">
        <f t="shared" si="2"/>
        <v>0.32926829268292684</v>
      </c>
    </row>
    <row r="16" spans="1:10" x14ac:dyDescent="0.35">
      <c r="A16" t="s">
        <v>195</v>
      </c>
      <c r="B16">
        <v>25</v>
      </c>
      <c r="C16">
        <f t="shared" si="0"/>
        <v>57</v>
      </c>
      <c r="D16">
        <f t="shared" si="1"/>
        <v>82</v>
      </c>
      <c r="E16" s="14">
        <f t="shared" si="2"/>
        <v>0.3048780487804878</v>
      </c>
    </row>
    <row r="17" spans="1:6" x14ac:dyDescent="0.35">
      <c r="A17" t="s">
        <v>174</v>
      </c>
      <c r="B17">
        <v>24</v>
      </c>
      <c r="C17">
        <f t="shared" si="0"/>
        <v>58</v>
      </c>
      <c r="D17">
        <f t="shared" si="1"/>
        <v>82</v>
      </c>
      <c r="E17" s="14">
        <f t="shared" si="2"/>
        <v>0.29268292682926828</v>
      </c>
      <c r="F17" s="55"/>
    </row>
  </sheetData>
  <sortState xmlns:xlrd2="http://schemas.microsoft.com/office/spreadsheetml/2017/richdata2" ref="A3:F17">
    <sortCondition descending="1" ref="B1:B17"/>
  </sortState>
  <mergeCells count="2">
    <mergeCell ref="A1:E1"/>
    <mergeCell ref="F3:G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EC559-17CB-4915-9A3B-D6D3844D69E4}">
  <sheetPr codeName="Sheet13"/>
  <dimension ref="A1:J32"/>
  <sheetViews>
    <sheetView workbookViewId="0">
      <selection activeCell="A4" sqref="A4"/>
    </sheetView>
  </sheetViews>
  <sheetFormatPr defaultRowHeight="14.5" x14ac:dyDescent="0.35"/>
  <cols>
    <col min="1" max="1" width="22.08984375" bestFit="1" customWidth="1"/>
    <col min="2" max="2" width="10.90625" bestFit="1" customWidth="1"/>
    <col min="3" max="3" width="10.7265625" bestFit="1" customWidth="1"/>
    <col min="4" max="4" width="12.90625" bestFit="1" customWidth="1"/>
    <col min="5" max="5" width="11.81640625" bestFit="1" customWidth="1"/>
  </cols>
  <sheetData>
    <row r="1" spans="1:10" x14ac:dyDescent="0.35">
      <c r="A1" s="59" t="s">
        <v>210</v>
      </c>
      <c r="B1" s="59"/>
      <c r="C1" s="59"/>
      <c r="D1" s="59"/>
      <c r="E1" s="59"/>
    </row>
    <row r="2" spans="1:10" ht="15" thickBot="1" x14ac:dyDescent="0.4">
      <c r="A2" s="53" t="s">
        <v>167</v>
      </c>
      <c r="B2" s="53" t="s">
        <v>206</v>
      </c>
      <c r="C2" s="53" t="s">
        <v>207</v>
      </c>
      <c r="D2" s="53" t="s">
        <v>169</v>
      </c>
      <c r="E2" s="54" t="s">
        <v>168</v>
      </c>
    </row>
    <row r="3" spans="1:10" x14ac:dyDescent="0.35">
      <c r="A3" s="24" t="s">
        <v>184</v>
      </c>
      <c r="B3" s="25">
        <v>65</v>
      </c>
      <c r="C3" s="25">
        <f t="shared" ref="C3:C17" si="0">82-B3</f>
        <v>17</v>
      </c>
      <c r="D3" s="25">
        <f t="shared" ref="D3:D17" si="1">B3+C3</f>
        <v>82</v>
      </c>
      <c r="E3" s="48">
        <f t="shared" ref="E3:E17" si="2">B3/D3</f>
        <v>0.79268292682926833</v>
      </c>
      <c r="F3" s="57" t="s">
        <v>209</v>
      </c>
      <c r="G3" s="58"/>
    </row>
    <row r="4" spans="1:10" x14ac:dyDescent="0.35">
      <c r="A4" s="27" t="s">
        <v>183</v>
      </c>
      <c r="B4" s="28">
        <v>58</v>
      </c>
      <c r="C4" s="28">
        <f t="shared" si="0"/>
        <v>24</v>
      </c>
      <c r="D4" s="28">
        <f t="shared" si="1"/>
        <v>82</v>
      </c>
      <c r="E4" s="49">
        <f t="shared" si="2"/>
        <v>0.70731707317073167</v>
      </c>
      <c r="F4" s="57"/>
      <c r="G4" s="58"/>
    </row>
    <row r="5" spans="1:10" x14ac:dyDescent="0.35">
      <c r="A5" s="27" t="s">
        <v>198</v>
      </c>
      <c r="B5" s="28">
        <v>49</v>
      </c>
      <c r="C5" s="28">
        <f t="shared" si="0"/>
        <v>33</v>
      </c>
      <c r="D5" s="28">
        <f t="shared" si="1"/>
        <v>82</v>
      </c>
      <c r="E5" s="49">
        <f t="shared" si="2"/>
        <v>0.59756097560975607</v>
      </c>
    </row>
    <row r="6" spans="1:10" x14ac:dyDescent="0.35">
      <c r="A6" s="27" t="s">
        <v>194</v>
      </c>
      <c r="B6" s="28">
        <v>48</v>
      </c>
      <c r="C6" s="28">
        <f t="shared" si="0"/>
        <v>34</v>
      </c>
      <c r="D6" s="28">
        <f t="shared" si="1"/>
        <v>82</v>
      </c>
      <c r="E6" s="49">
        <f t="shared" si="2"/>
        <v>0.58536585365853655</v>
      </c>
    </row>
    <row r="7" spans="1:10" x14ac:dyDescent="0.35">
      <c r="A7" s="27" t="s">
        <v>202</v>
      </c>
      <c r="B7" s="28">
        <v>48</v>
      </c>
      <c r="C7" s="28">
        <f t="shared" si="0"/>
        <v>34</v>
      </c>
      <c r="D7" s="28">
        <f t="shared" si="1"/>
        <v>82</v>
      </c>
      <c r="E7" s="49">
        <f t="shared" si="2"/>
        <v>0.58536585365853655</v>
      </c>
    </row>
    <row r="8" spans="1:10" x14ac:dyDescent="0.35">
      <c r="A8" s="27" t="s">
        <v>192</v>
      </c>
      <c r="B8" s="28">
        <v>47.999999999999901</v>
      </c>
      <c r="C8" s="28">
        <f t="shared" si="0"/>
        <v>34.000000000000099</v>
      </c>
      <c r="D8" s="28">
        <f t="shared" si="1"/>
        <v>82</v>
      </c>
      <c r="E8" s="49">
        <f t="shared" si="2"/>
        <v>0.58536585365853533</v>
      </c>
    </row>
    <row r="9" spans="1:10" x14ac:dyDescent="0.35">
      <c r="A9" s="27" t="s">
        <v>191</v>
      </c>
      <c r="B9" s="28">
        <v>47</v>
      </c>
      <c r="C9" s="28">
        <f t="shared" si="0"/>
        <v>35</v>
      </c>
      <c r="D9" s="28">
        <f t="shared" si="1"/>
        <v>82</v>
      </c>
      <c r="E9" s="49">
        <f t="shared" si="2"/>
        <v>0.57317073170731703</v>
      </c>
      <c r="J9" s="14"/>
    </row>
    <row r="10" spans="1:10" ht="15" thickBot="1" x14ac:dyDescent="0.4">
      <c r="A10" s="38" t="s">
        <v>200</v>
      </c>
      <c r="B10" s="33">
        <v>47</v>
      </c>
      <c r="C10" s="33">
        <f t="shared" si="0"/>
        <v>35</v>
      </c>
      <c r="D10" s="33">
        <f t="shared" si="1"/>
        <v>82</v>
      </c>
      <c r="E10" s="50">
        <f t="shared" si="2"/>
        <v>0.57317073170731703</v>
      </c>
      <c r="J10" s="14"/>
    </row>
    <row r="11" spans="1:10" x14ac:dyDescent="0.35">
      <c r="A11" t="s">
        <v>181</v>
      </c>
      <c r="B11">
        <v>46</v>
      </c>
      <c r="C11">
        <f t="shared" si="0"/>
        <v>36</v>
      </c>
      <c r="D11">
        <f t="shared" si="1"/>
        <v>82</v>
      </c>
      <c r="E11" s="14">
        <f t="shared" si="2"/>
        <v>0.56097560975609762</v>
      </c>
      <c r="J11" s="14"/>
    </row>
    <row r="12" spans="1:10" x14ac:dyDescent="0.35">
      <c r="A12" t="s">
        <v>186</v>
      </c>
      <c r="B12">
        <v>42</v>
      </c>
      <c r="C12">
        <f t="shared" si="0"/>
        <v>40</v>
      </c>
      <c r="D12">
        <f t="shared" si="1"/>
        <v>82</v>
      </c>
      <c r="E12" s="14">
        <f t="shared" si="2"/>
        <v>0.51219512195121952</v>
      </c>
      <c r="F12" s="55"/>
    </row>
    <row r="13" spans="1:10" x14ac:dyDescent="0.35">
      <c r="A13" t="s">
        <v>187</v>
      </c>
      <c r="B13">
        <v>35</v>
      </c>
      <c r="C13">
        <f t="shared" si="0"/>
        <v>47</v>
      </c>
      <c r="D13">
        <f t="shared" si="1"/>
        <v>82</v>
      </c>
      <c r="E13" s="14">
        <f t="shared" si="2"/>
        <v>0.42682926829268292</v>
      </c>
    </row>
    <row r="14" spans="1:10" x14ac:dyDescent="0.35">
      <c r="A14" t="s">
        <v>199</v>
      </c>
      <c r="B14">
        <v>27</v>
      </c>
      <c r="C14">
        <f t="shared" si="0"/>
        <v>55</v>
      </c>
      <c r="D14">
        <f t="shared" si="1"/>
        <v>82</v>
      </c>
      <c r="E14" s="14">
        <f t="shared" si="2"/>
        <v>0.32926829268292684</v>
      </c>
      <c r="F14" s="55"/>
    </row>
    <row r="15" spans="1:10" x14ac:dyDescent="0.35">
      <c r="A15" t="s">
        <v>180</v>
      </c>
      <c r="B15">
        <v>24</v>
      </c>
      <c r="C15">
        <f t="shared" si="0"/>
        <v>58</v>
      </c>
      <c r="D15">
        <f t="shared" si="1"/>
        <v>82</v>
      </c>
      <c r="E15" s="14">
        <f t="shared" si="2"/>
        <v>0.29268292682926828</v>
      </c>
    </row>
    <row r="16" spans="1:10" x14ac:dyDescent="0.35">
      <c r="A16" t="s">
        <v>188</v>
      </c>
      <c r="B16">
        <v>22</v>
      </c>
      <c r="C16">
        <f t="shared" si="0"/>
        <v>60</v>
      </c>
      <c r="D16">
        <f t="shared" si="1"/>
        <v>82</v>
      </c>
      <c r="E16" s="14">
        <f t="shared" si="2"/>
        <v>0.26829268292682928</v>
      </c>
    </row>
    <row r="17" spans="1:5" x14ac:dyDescent="0.35">
      <c r="A17" t="s">
        <v>197</v>
      </c>
      <c r="B17">
        <v>21</v>
      </c>
      <c r="C17">
        <f t="shared" si="0"/>
        <v>61</v>
      </c>
      <c r="D17">
        <f t="shared" si="1"/>
        <v>82</v>
      </c>
      <c r="E17" s="14">
        <f t="shared" si="2"/>
        <v>0.25609756097560976</v>
      </c>
    </row>
    <row r="18" spans="1:5" x14ac:dyDescent="0.35">
      <c r="E18" s="14"/>
    </row>
    <row r="19" spans="1:5" x14ac:dyDescent="0.35">
      <c r="E19" s="14"/>
    </row>
    <row r="20" spans="1:5" x14ac:dyDescent="0.35">
      <c r="E20" s="14"/>
    </row>
    <row r="21" spans="1:5" x14ac:dyDescent="0.35">
      <c r="E21" s="14"/>
    </row>
    <row r="22" spans="1:5" x14ac:dyDescent="0.35">
      <c r="E22" s="14"/>
    </row>
    <row r="23" spans="1:5" x14ac:dyDescent="0.35">
      <c r="E23" s="14"/>
    </row>
    <row r="24" spans="1:5" x14ac:dyDescent="0.35">
      <c r="E24" s="14"/>
    </row>
    <row r="25" spans="1:5" x14ac:dyDescent="0.35">
      <c r="E25" s="14"/>
    </row>
    <row r="26" spans="1:5" x14ac:dyDescent="0.35">
      <c r="E26" s="14"/>
    </row>
    <row r="27" spans="1:5" x14ac:dyDescent="0.35">
      <c r="E27" s="14"/>
    </row>
    <row r="28" spans="1:5" x14ac:dyDescent="0.35">
      <c r="E28" s="14"/>
    </row>
    <row r="29" spans="1:5" x14ac:dyDescent="0.35">
      <c r="E29" s="14"/>
    </row>
    <row r="30" spans="1:5" x14ac:dyDescent="0.35">
      <c r="E30" s="14"/>
    </row>
    <row r="31" spans="1:5" x14ac:dyDescent="0.35">
      <c r="E31" s="14"/>
    </row>
    <row r="32" spans="1:5" x14ac:dyDescent="0.35">
      <c r="E32" s="14"/>
    </row>
  </sheetData>
  <sortState xmlns:xlrd2="http://schemas.microsoft.com/office/spreadsheetml/2017/richdata2" ref="A3:F32">
    <sortCondition descending="1" ref="B1:B32"/>
  </sortState>
  <mergeCells count="2">
    <mergeCell ref="A1:E1"/>
    <mergeCell ref="F3:G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69"/>
  <sheetViews>
    <sheetView tabSelected="1" topLeftCell="B17" zoomScale="79" workbookViewId="0">
      <selection activeCell="F5" sqref="F5"/>
    </sheetView>
  </sheetViews>
  <sheetFormatPr defaultRowHeight="14.5" x14ac:dyDescent="0.35"/>
  <cols>
    <col min="1" max="1" width="22.08984375" style="13" bestFit="1" customWidth="1"/>
    <col min="2" max="2" width="13.08984375" customWidth="1"/>
    <col min="3" max="3" width="14.90625" bestFit="1" customWidth="1"/>
    <col min="4" max="4" width="10.08984375" customWidth="1"/>
    <col min="5" max="5" width="21.6328125" bestFit="1" customWidth="1"/>
    <col min="9" max="9" width="19.6328125" bestFit="1" customWidth="1"/>
    <col min="14" max="14" width="15.08984375" bestFit="1" customWidth="1"/>
    <col min="16" max="16" width="6" bestFit="1" customWidth="1"/>
    <col min="17" max="17" width="19" customWidth="1"/>
  </cols>
  <sheetData>
    <row r="1" spans="1:20" ht="15" thickBot="1" x14ac:dyDescent="0.4">
      <c r="A1" s="82"/>
      <c r="B1" s="24"/>
      <c r="C1" s="25" t="s">
        <v>2</v>
      </c>
      <c r="D1" s="26">
        <f>O1</f>
        <v>7</v>
      </c>
      <c r="E1" s="25"/>
      <c r="F1" s="25"/>
      <c r="G1" s="25"/>
      <c r="H1" s="25"/>
      <c r="I1" s="25"/>
      <c r="J1" s="25"/>
      <c r="K1" s="25"/>
      <c r="L1" s="25"/>
      <c r="M1" s="25"/>
      <c r="N1" s="79" t="s">
        <v>213</v>
      </c>
      <c r="O1" s="80">
        <v>7</v>
      </c>
      <c r="P1" s="25"/>
      <c r="Q1" s="25"/>
      <c r="R1" s="25"/>
      <c r="S1" s="25"/>
      <c r="T1" s="60"/>
    </row>
    <row r="2" spans="1:20" x14ac:dyDescent="0.35">
      <c r="A2" s="72" t="s">
        <v>163</v>
      </c>
      <c r="B2" s="27"/>
      <c r="C2" s="28" t="s">
        <v>3</v>
      </c>
      <c r="D2" s="39">
        <f>B4*(1-B5)/(B4*(1-B5)+B5*(1-B4))</f>
        <v>0.69939209726443763</v>
      </c>
      <c r="E2" s="28" t="s">
        <v>212</v>
      </c>
      <c r="F2" s="24"/>
      <c r="G2" s="25" t="s">
        <v>2</v>
      </c>
      <c r="H2" s="26">
        <f>O1</f>
        <v>7</v>
      </c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37"/>
    </row>
    <row r="3" spans="1:20" x14ac:dyDescent="0.35">
      <c r="A3" s="78"/>
      <c r="B3" s="27"/>
      <c r="C3" s="28"/>
      <c r="D3" s="29"/>
      <c r="E3" s="28"/>
      <c r="F3" s="27"/>
      <c r="G3" s="28" t="s">
        <v>3</v>
      </c>
      <c r="H3" s="39">
        <f ca="1">F5*(1-F11)/(F5*(1-F11)+F11*(1-F5))</f>
        <v>0.35117967332123406</v>
      </c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37"/>
    </row>
    <row r="4" spans="1:20" ht="15" thickBot="1" x14ac:dyDescent="0.4">
      <c r="A4" s="72" t="str">
        <f>'East Standings'!A3</f>
        <v>Toronto Raptors</v>
      </c>
      <c r="B4" s="32">
        <f>VLOOKUP(A4,'East Standings'!$A$2:$E$17,5,FALSE)</f>
        <v>0.71951219512195119</v>
      </c>
      <c r="C4" s="28"/>
      <c r="D4" s="31"/>
      <c r="E4" s="73" t="s">
        <v>162</v>
      </c>
      <c r="F4" s="27"/>
      <c r="G4" s="28"/>
      <c r="H4" s="37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37"/>
    </row>
    <row r="5" spans="1:20" ht="15" thickBot="1" x14ac:dyDescent="0.4">
      <c r="A5" s="72" t="str">
        <f>'East Standings'!A10</f>
        <v>Washington Wizards</v>
      </c>
      <c r="B5" s="32">
        <f>VLOOKUP(A5,'East Standings'!$A$2:$E$17,5,FALSE)</f>
        <v>0.52439024390243905</v>
      </c>
      <c r="C5" s="33"/>
      <c r="D5" s="34">
        <f ca="1">_xlfn.BINOM.INV(D1,D2,RAND())</f>
        <v>3</v>
      </c>
      <c r="E5" s="74" t="str">
        <f ca="1">IF(D5&gt;=D1/2,A4,A5)</f>
        <v>Washington Wizards</v>
      </c>
      <c r="F5" s="30">
        <f ca="1">VLOOKUP(E5,'Team Table'!$A$1:$E$17,5,0)</f>
        <v>0.52439024390243905</v>
      </c>
      <c r="G5" s="28"/>
      <c r="H5" s="37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37"/>
    </row>
    <row r="6" spans="1:20" ht="15" thickBot="1" x14ac:dyDescent="0.4">
      <c r="A6" s="83"/>
      <c r="B6" s="67"/>
      <c r="C6" s="28"/>
      <c r="D6" s="28"/>
      <c r="E6" s="28"/>
      <c r="F6" s="27"/>
      <c r="G6" s="28"/>
      <c r="H6" s="37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37"/>
    </row>
    <row r="7" spans="1:20" x14ac:dyDescent="0.35">
      <c r="A7" s="83"/>
      <c r="B7" s="85"/>
      <c r="C7" s="25" t="s">
        <v>2</v>
      </c>
      <c r="D7" s="26">
        <f>O1</f>
        <v>7</v>
      </c>
      <c r="E7" s="28"/>
      <c r="F7" s="27"/>
      <c r="G7" s="28"/>
      <c r="H7" s="37"/>
      <c r="I7" s="73" t="s">
        <v>170</v>
      </c>
      <c r="J7" s="41"/>
      <c r="K7" s="41"/>
      <c r="L7" s="41"/>
      <c r="M7" s="28"/>
      <c r="N7" s="28"/>
      <c r="O7" s="28"/>
      <c r="P7" s="28"/>
      <c r="Q7" s="28"/>
      <c r="R7" s="28"/>
      <c r="S7" s="28"/>
      <c r="T7" s="37"/>
    </row>
    <row r="8" spans="1:20" ht="15" thickBot="1" x14ac:dyDescent="0.4">
      <c r="A8" s="83"/>
      <c r="B8" s="43"/>
      <c r="C8" s="28" t="s">
        <v>3</v>
      </c>
      <c r="D8" s="45">
        <f>B10*(1-B11)/(B10*(1-B11)+B11*(1-B10))</f>
        <v>0.63758389261745074</v>
      </c>
      <c r="E8" s="28"/>
      <c r="F8" s="38"/>
      <c r="G8" s="33"/>
      <c r="H8" s="34">
        <f ca="1">_xlfn.BINOM.INV(H2,H3,RAND())</f>
        <v>2</v>
      </c>
      <c r="I8" s="75" t="str">
        <f ca="1">IF(H8&gt;=H2/2,E5,E11)</f>
        <v>Boston Celtics</v>
      </c>
      <c r="J8" s="76">
        <f ca="1">VLOOKUP(I8,'Team Table'!$A$1:$E$17,5,0)</f>
        <v>0.67073170731707321</v>
      </c>
      <c r="K8" s="86"/>
      <c r="L8" s="86"/>
      <c r="M8" s="28"/>
      <c r="N8" s="28"/>
      <c r="O8" s="28"/>
      <c r="P8" s="28"/>
      <c r="Q8" s="28"/>
      <c r="R8" s="28"/>
      <c r="S8" s="28"/>
      <c r="T8" s="37"/>
    </row>
    <row r="9" spans="1:20" x14ac:dyDescent="0.35">
      <c r="A9" s="83"/>
      <c r="B9" s="43"/>
      <c r="C9" s="28"/>
      <c r="D9" s="37"/>
      <c r="E9" s="28"/>
      <c r="F9" s="28"/>
      <c r="G9" s="28"/>
      <c r="H9" s="28"/>
      <c r="I9" s="62"/>
      <c r="J9" s="62"/>
      <c r="K9" s="62"/>
      <c r="L9" s="62"/>
      <c r="M9" s="28"/>
      <c r="N9" s="28"/>
      <c r="O9" s="28"/>
      <c r="P9" s="28"/>
      <c r="Q9" s="28"/>
      <c r="R9" s="28"/>
      <c r="S9" s="28"/>
      <c r="T9" s="37"/>
    </row>
    <row r="10" spans="1:20" ht="15" thickBot="1" x14ac:dyDescent="0.4">
      <c r="A10" s="72" t="str">
        <f>'East Standings'!A4</f>
        <v>Boston Celtics</v>
      </c>
      <c r="B10" s="32">
        <f>VLOOKUP(A10,'East Standings'!$A$2:$E$17,5,FALSE)</f>
        <v>0.67073170731707321</v>
      </c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37"/>
    </row>
    <row r="11" spans="1:20" ht="15" thickBot="1" x14ac:dyDescent="0.4">
      <c r="A11" s="72" t="str">
        <f>'East Standings'!A9</f>
        <v>Miami Heat</v>
      </c>
      <c r="B11" s="32">
        <f>VLOOKUP(A11,'East Standings'!$A$2:$E$17,5,FALSE)</f>
        <v>0.53658536585365735</v>
      </c>
      <c r="C11" s="33"/>
      <c r="D11" s="34">
        <f ca="1">_xlfn.BINOM.INV(D7,D8,RAND())</f>
        <v>4</v>
      </c>
      <c r="E11" s="74" t="str">
        <f ca="1">IF(D11&gt;=D7/2,A10,A11)</f>
        <v>Boston Celtics</v>
      </c>
      <c r="F11" s="30">
        <f ca="1">VLOOKUP(E11,'Team Table'!$A$1:$E$17,5,0)</f>
        <v>0.67073170731707321</v>
      </c>
      <c r="G11" s="28"/>
      <c r="H11" s="28"/>
      <c r="I11" s="28"/>
      <c r="J11" s="28"/>
      <c r="K11" s="24"/>
      <c r="L11" s="25" t="s">
        <v>2</v>
      </c>
      <c r="M11" s="26">
        <f>O1</f>
        <v>7</v>
      </c>
      <c r="N11" s="28"/>
      <c r="O11" s="28"/>
      <c r="P11" s="28"/>
      <c r="Q11" s="28"/>
      <c r="R11" s="28"/>
      <c r="S11" s="28"/>
      <c r="T11" s="37"/>
    </row>
    <row r="12" spans="1:20" x14ac:dyDescent="0.35">
      <c r="A12" s="83"/>
      <c r="B12" s="28"/>
      <c r="C12" s="28"/>
      <c r="D12" s="28"/>
      <c r="E12" s="28"/>
      <c r="F12" s="28"/>
      <c r="G12" s="28"/>
      <c r="H12" s="28"/>
      <c r="I12" s="28"/>
      <c r="J12" s="28"/>
      <c r="K12" s="27"/>
      <c r="L12" s="28" t="s">
        <v>3</v>
      </c>
      <c r="M12" s="39">
        <f ca="1">J8*(1-J21)/(J8*(1-J21)+J21*(1-J8))</f>
        <v>0.59065066329753646</v>
      </c>
      <c r="N12" s="28"/>
      <c r="O12" s="28"/>
      <c r="P12" s="28"/>
      <c r="Q12" s="28"/>
      <c r="R12" s="28"/>
      <c r="S12" s="28"/>
      <c r="T12" s="37"/>
    </row>
    <row r="13" spans="1:20" ht="15" thickBot="1" x14ac:dyDescent="0.4">
      <c r="A13" s="83"/>
      <c r="B13" s="28"/>
      <c r="C13" s="28"/>
      <c r="D13" s="28"/>
      <c r="E13" s="28"/>
      <c r="F13" s="28"/>
      <c r="G13" s="28"/>
      <c r="H13" s="28"/>
      <c r="I13" s="28"/>
      <c r="J13" s="28"/>
      <c r="K13" s="27"/>
      <c r="L13" s="28"/>
      <c r="M13" s="37"/>
      <c r="N13" s="28"/>
      <c r="O13" s="28"/>
      <c r="P13" s="28"/>
      <c r="Q13" s="28"/>
      <c r="R13" s="28"/>
      <c r="S13" s="28"/>
      <c r="T13" s="37"/>
    </row>
    <row r="14" spans="1:20" ht="15" thickBot="1" x14ac:dyDescent="0.4">
      <c r="A14" s="83"/>
      <c r="B14" s="24"/>
      <c r="C14" s="25" t="s">
        <v>2</v>
      </c>
      <c r="D14" s="26">
        <f>O1</f>
        <v>7</v>
      </c>
      <c r="E14" s="28"/>
      <c r="F14" s="28"/>
      <c r="G14" s="28"/>
      <c r="H14" s="28"/>
      <c r="I14" s="28"/>
      <c r="J14" s="28"/>
      <c r="K14" s="43"/>
      <c r="L14" s="28"/>
      <c r="M14" s="37"/>
      <c r="N14" s="28"/>
      <c r="O14" s="28"/>
      <c r="P14" s="28"/>
      <c r="Q14" s="28"/>
      <c r="R14" s="28"/>
      <c r="S14" s="28"/>
      <c r="T14" s="37"/>
    </row>
    <row r="15" spans="1:20" x14ac:dyDescent="0.35">
      <c r="A15" s="78"/>
      <c r="B15" s="27"/>
      <c r="C15" s="28" t="s">
        <v>3</v>
      </c>
      <c r="D15" s="39">
        <f>B17*(1-B18)/(B17*(1-B18)+B18*(1-B17))</f>
        <v>0.59951456310679607</v>
      </c>
      <c r="E15" s="28"/>
      <c r="F15" s="24"/>
      <c r="G15" s="25" t="s">
        <v>2</v>
      </c>
      <c r="H15" s="26">
        <f>O1</f>
        <v>7</v>
      </c>
      <c r="I15" s="28"/>
      <c r="J15" s="28"/>
      <c r="K15" s="27"/>
      <c r="L15" s="28"/>
      <c r="M15" s="37"/>
      <c r="N15" s="28"/>
      <c r="O15" s="28"/>
      <c r="P15" s="28"/>
      <c r="Q15" s="28"/>
      <c r="R15" s="28"/>
      <c r="S15" s="28"/>
      <c r="T15" s="37"/>
    </row>
    <row r="16" spans="1:20" x14ac:dyDescent="0.35">
      <c r="A16" s="78"/>
      <c r="B16" s="27"/>
      <c r="C16" s="28"/>
      <c r="D16" s="29"/>
      <c r="E16" s="28"/>
      <c r="F16" s="27"/>
      <c r="G16" s="28" t="s">
        <v>3</v>
      </c>
      <c r="H16" s="39">
        <f ca="1">F18*(1-F24)/(F18*(1-F24)+F24*(1-F18))</f>
        <v>0.5511221945137158</v>
      </c>
      <c r="I16" s="28"/>
      <c r="J16" s="28"/>
      <c r="K16" s="27"/>
      <c r="L16" s="28"/>
      <c r="M16" s="37"/>
      <c r="N16" s="73" t="s">
        <v>173</v>
      </c>
      <c r="O16" s="41"/>
      <c r="P16" s="41"/>
      <c r="Q16" s="41"/>
      <c r="R16" s="40"/>
      <c r="S16" s="28"/>
      <c r="T16" s="37"/>
    </row>
    <row r="17" spans="1:20" ht="15" thickBot="1" x14ac:dyDescent="0.4">
      <c r="A17" s="72" t="str">
        <f>'East Standings'!A5</f>
        <v>Philadelphia 76ers</v>
      </c>
      <c r="B17" s="69">
        <f>VLOOKUP(A17,'East Standings'!$A$2:$E$17,5,FALSE)</f>
        <v>0.63414634146341464</v>
      </c>
      <c r="C17" s="28"/>
      <c r="D17" s="31"/>
      <c r="E17" s="41"/>
      <c r="F17" s="27"/>
      <c r="G17" s="28"/>
      <c r="H17" s="37"/>
      <c r="I17" s="28"/>
      <c r="J17" s="28"/>
      <c r="K17" s="38"/>
      <c r="L17" s="33"/>
      <c r="M17" s="34">
        <f ca="1">_xlfn.BINOM.INV(M11,M12,RAND())</f>
        <v>4</v>
      </c>
      <c r="N17" s="75" t="str">
        <f ca="1">IF(M17&gt;=M11/2,I8,I21)</f>
        <v>Boston Celtics</v>
      </c>
      <c r="O17" s="76">
        <f ca="1">VLOOKUP(N17,'Team Table'!$A$1:$E$17,5,0)</f>
        <v>0.67073170731707321</v>
      </c>
      <c r="P17" s="86"/>
      <c r="Q17" s="86"/>
      <c r="R17" s="28"/>
      <c r="S17" s="28"/>
      <c r="T17" s="37"/>
    </row>
    <row r="18" spans="1:20" ht="15" thickBot="1" x14ac:dyDescent="0.4">
      <c r="A18" s="72" t="str">
        <f>'East Standings'!A8</f>
        <v>Milwaukee Bucks</v>
      </c>
      <c r="B18" s="69">
        <f>VLOOKUP(A18,'East Standings'!$A$2:$E$17,5,FALSE)</f>
        <v>0.53658536585365857</v>
      </c>
      <c r="C18" s="33"/>
      <c r="D18" s="34">
        <f ca="1">_xlfn.BINOM.INV(D14,D15,RAND())</f>
        <v>5</v>
      </c>
      <c r="E18" s="74" t="str">
        <f ca="1">IF(D18&gt;=D14/2,A17,A18)</f>
        <v>Philadelphia 76ers</v>
      </c>
      <c r="F18" s="30">
        <f ca="1">VLOOKUP(E18,'Team Table'!$A$1:$E$17,5,0)</f>
        <v>0.63414634146341464</v>
      </c>
      <c r="G18" s="28"/>
      <c r="H18" s="37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37"/>
    </row>
    <row r="19" spans="1:20" ht="15" thickBot="1" x14ac:dyDescent="0.4">
      <c r="A19" s="83"/>
      <c r="B19" s="61"/>
      <c r="C19" s="28"/>
      <c r="D19" s="28"/>
      <c r="E19" s="28"/>
      <c r="F19" s="27"/>
      <c r="G19" s="28"/>
      <c r="H19" s="37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37"/>
    </row>
    <row r="20" spans="1:20" x14ac:dyDescent="0.35">
      <c r="A20" s="83"/>
      <c r="B20" s="35"/>
      <c r="C20" s="25" t="s">
        <v>2</v>
      </c>
      <c r="D20" s="26">
        <f>O1</f>
        <v>7</v>
      </c>
      <c r="E20" s="28"/>
      <c r="F20" s="27"/>
      <c r="G20" s="28"/>
      <c r="H20" s="68"/>
      <c r="I20" s="41"/>
      <c r="J20" s="41"/>
      <c r="K20" s="41"/>
      <c r="L20" s="41"/>
      <c r="M20" s="28"/>
      <c r="N20" s="28"/>
      <c r="O20" s="28"/>
      <c r="P20" s="28"/>
      <c r="Q20" s="28"/>
      <c r="R20" s="28"/>
      <c r="S20" s="28"/>
      <c r="T20" s="37"/>
    </row>
    <row r="21" spans="1:20" ht="15" thickBot="1" x14ac:dyDescent="0.4">
      <c r="A21" s="83"/>
      <c r="B21" s="36"/>
      <c r="C21" s="28" t="s">
        <v>3</v>
      </c>
      <c r="D21" s="45">
        <f>B23*(1-B24)/(B23*(1-B24)+B24*(1-B23))</f>
        <v>0.5253399258343634</v>
      </c>
      <c r="E21" s="28"/>
      <c r="F21" s="38"/>
      <c r="G21" s="33"/>
      <c r="H21" s="34">
        <f ca="1">_xlfn.BINOM.INV(H15,H16,RAND())</f>
        <v>3</v>
      </c>
      <c r="I21" s="75" t="str">
        <f ca="1">IF(H21&gt;=H15/2,E18,E24)</f>
        <v>Indiana Pacers</v>
      </c>
      <c r="J21" s="76">
        <f ca="1">VLOOKUP(I21,'Team Table'!$A$1:$E$17,5,0)</f>
        <v>0.58536585365853655</v>
      </c>
      <c r="K21" s="86"/>
      <c r="L21" s="86"/>
      <c r="M21" s="28"/>
      <c r="N21" s="28"/>
      <c r="O21" s="28"/>
      <c r="P21" s="28"/>
      <c r="Q21" s="28"/>
      <c r="R21" s="28"/>
      <c r="S21" s="28"/>
      <c r="T21" s="37"/>
    </row>
    <row r="22" spans="1:20" ht="15" thickBot="1" x14ac:dyDescent="0.4">
      <c r="A22" s="83"/>
      <c r="B22" s="36"/>
      <c r="C22" s="28"/>
      <c r="D22" s="37"/>
      <c r="E22" s="28"/>
      <c r="F22" s="28"/>
      <c r="G22" s="28"/>
      <c r="H22" s="28"/>
      <c r="I22" s="62"/>
      <c r="J22" s="62"/>
      <c r="K22" s="62"/>
      <c r="L22" s="62"/>
      <c r="M22" s="28"/>
      <c r="N22" s="28"/>
      <c r="O22" s="28"/>
      <c r="P22" s="28"/>
      <c r="Q22" s="28"/>
      <c r="R22" s="28"/>
      <c r="S22" s="28"/>
      <c r="T22" s="37"/>
    </row>
    <row r="23" spans="1:20" ht="15" thickBot="1" x14ac:dyDescent="0.4">
      <c r="A23" s="72" t="str">
        <f>'East Standings'!A6</f>
        <v>Cleveland Cavaliers</v>
      </c>
      <c r="B23" s="69">
        <f>VLOOKUP(A23,'East Standings'!$A$2:$E$17,5,FALSE)</f>
        <v>0.6097560975609756</v>
      </c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4"/>
      <c r="O23" s="25" t="s">
        <v>2</v>
      </c>
      <c r="P23" s="26">
        <f>O1</f>
        <v>7</v>
      </c>
      <c r="Q23" s="28"/>
      <c r="R23" s="28"/>
      <c r="S23" s="28"/>
      <c r="T23" s="37"/>
    </row>
    <row r="24" spans="1:20" ht="15" thickBot="1" x14ac:dyDescent="0.4">
      <c r="A24" s="72" t="str">
        <f>'East Standings'!A7</f>
        <v>Indiana Pacers</v>
      </c>
      <c r="B24" s="69">
        <f>VLOOKUP(A24,'East Standings'!$A$2:$E$17,5,FALSE)</f>
        <v>0.58536585365853655</v>
      </c>
      <c r="C24" s="33"/>
      <c r="D24" s="34">
        <f ca="1">_xlfn.BINOM.INV(D20,D21,RAND())</f>
        <v>3</v>
      </c>
      <c r="E24" s="74" t="str">
        <f ca="1">IF(D24&gt;=D20/2,A23,A24)</f>
        <v>Indiana Pacers</v>
      </c>
      <c r="F24" s="30">
        <f ca="1">VLOOKUP(E24,'Team Table'!$A$1:$E$17,5,0)</f>
        <v>0.58536585365853655</v>
      </c>
      <c r="G24" s="28"/>
      <c r="H24" s="28"/>
      <c r="I24" s="28"/>
      <c r="J24" s="28"/>
      <c r="K24" s="28"/>
      <c r="L24" s="28"/>
      <c r="M24" s="28"/>
      <c r="N24" s="27"/>
      <c r="O24" s="28" t="s">
        <v>3</v>
      </c>
      <c r="P24" s="39">
        <f ca="1">O17*(1-O43)/(O17*(1-O43)+O43*(1-O17))</f>
        <v>0.45738045738045746</v>
      </c>
      <c r="Q24" s="28"/>
      <c r="R24" s="28"/>
      <c r="S24" s="28"/>
      <c r="T24" s="37"/>
    </row>
    <row r="25" spans="1:20" ht="15" thickBot="1" x14ac:dyDescent="0.4">
      <c r="A25" s="84"/>
      <c r="B25" s="70"/>
      <c r="C25" s="33"/>
      <c r="D25" s="33"/>
      <c r="E25" s="71"/>
      <c r="F25" s="70"/>
      <c r="G25" s="33"/>
      <c r="H25" s="33"/>
      <c r="I25" s="33"/>
      <c r="J25" s="33"/>
      <c r="K25" s="33"/>
      <c r="L25" s="33"/>
      <c r="M25" s="33"/>
      <c r="N25" s="38"/>
      <c r="O25" s="33"/>
      <c r="P25" s="77"/>
      <c r="Q25" s="33"/>
      <c r="R25" s="33"/>
      <c r="S25" s="33"/>
      <c r="T25" s="34"/>
    </row>
    <row r="26" spans="1:20" ht="15" thickBot="1" x14ac:dyDescent="0.4">
      <c r="A26" s="82"/>
      <c r="B26" s="64"/>
      <c r="C26" s="25"/>
      <c r="D26" s="25"/>
      <c r="E26" s="63"/>
      <c r="F26" s="64"/>
      <c r="G26" s="25"/>
      <c r="H26" s="25"/>
      <c r="I26" s="25"/>
      <c r="J26" s="25"/>
      <c r="K26" s="25"/>
      <c r="L26" s="25"/>
      <c r="M26" s="25"/>
      <c r="N26" s="24"/>
      <c r="O26" s="25"/>
      <c r="P26" s="60"/>
      <c r="Q26" s="25"/>
      <c r="R26" s="25"/>
      <c r="S26" s="25"/>
      <c r="T26" s="60"/>
    </row>
    <row r="27" spans="1:20" ht="15" thickBot="1" x14ac:dyDescent="0.4">
      <c r="A27" s="83"/>
      <c r="B27" s="24"/>
      <c r="C27" s="25" t="s">
        <v>2</v>
      </c>
      <c r="D27" s="26">
        <f>O1</f>
        <v>7</v>
      </c>
      <c r="E27" s="28"/>
      <c r="F27" s="28"/>
      <c r="G27" s="28"/>
      <c r="H27" s="28"/>
      <c r="I27" s="28"/>
      <c r="J27" s="28"/>
      <c r="K27" s="28"/>
      <c r="L27" s="28"/>
      <c r="M27" s="28"/>
      <c r="N27" s="43"/>
      <c r="O27" s="28"/>
      <c r="P27" s="37"/>
      <c r="Q27" s="28"/>
      <c r="R27" s="28"/>
      <c r="S27" s="28"/>
      <c r="T27" s="37"/>
    </row>
    <row r="28" spans="1:20" x14ac:dyDescent="0.35">
      <c r="A28" s="78"/>
      <c r="B28" s="27"/>
      <c r="C28" s="28" t="s">
        <v>3</v>
      </c>
      <c r="D28" s="39">
        <f>B30*(1-B31)/(B30*(1-B31)+B31*(1-B30))</f>
        <v>0.74007807417046201</v>
      </c>
      <c r="E28" s="28" t="s">
        <v>212</v>
      </c>
      <c r="F28" s="24"/>
      <c r="G28" s="25" t="s">
        <v>2</v>
      </c>
      <c r="H28" s="26">
        <f>O1</f>
        <v>7</v>
      </c>
      <c r="I28" s="28"/>
      <c r="J28" s="28"/>
      <c r="K28" s="28"/>
      <c r="L28" s="28"/>
      <c r="M28" s="28"/>
      <c r="N28" s="27"/>
      <c r="O28" s="28"/>
      <c r="P28" s="37"/>
      <c r="Q28" s="28"/>
      <c r="R28" s="28"/>
      <c r="S28" s="28"/>
      <c r="T28" s="37"/>
    </row>
    <row r="29" spans="1:20" x14ac:dyDescent="0.35">
      <c r="A29" s="78"/>
      <c r="B29" s="27"/>
      <c r="C29" s="28"/>
      <c r="D29" s="29"/>
      <c r="E29" s="28"/>
      <c r="F29" s="27"/>
      <c r="G29" s="28" t="s">
        <v>3</v>
      </c>
      <c r="H29" s="39">
        <f ca="1">F31*(1-F37)/(F31*(1-F37)+F37*(1-F31))</f>
        <v>0.61272584446190115</v>
      </c>
      <c r="I29" s="28"/>
      <c r="J29" s="28"/>
      <c r="K29" s="28"/>
      <c r="L29" s="28"/>
      <c r="M29" s="28"/>
      <c r="N29" s="27"/>
      <c r="O29" s="28"/>
      <c r="P29" s="37"/>
      <c r="Q29" s="73" t="s">
        <v>171</v>
      </c>
      <c r="R29" s="28"/>
      <c r="S29" s="28"/>
      <c r="T29" s="37"/>
    </row>
    <row r="30" spans="1:20" ht="15" thickBot="1" x14ac:dyDescent="0.4">
      <c r="A30" s="72" t="str">
        <f>'West Standings'!A3</f>
        <v>Houston Rockets</v>
      </c>
      <c r="B30" s="32">
        <f>VLOOKUP(A30,'West Standings'!$A$2:$E$17,5,FALSE)</f>
        <v>0.79268292682926833</v>
      </c>
      <c r="C30" s="28"/>
      <c r="D30" s="31"/>
      <c r="E30" s="41"/>
      <c r="F30" s="27"/>
      <c r="G30" s="28"/>
      <c r="H30" s="37"/>
      <c r="I30" s="28"/>
      <c r="J30" s="28"/>
      <c r="K30" s="28"/>
      <c r="L30" s="28"/>
      <c r="M30" s="28"/>
      <c r="N30" s="38"/>
      <c r="O30" s="33"/>
      <c r="P30" s="34">
        <f ca="1">_xlfn.BINOM.INV(P23,P24,RAND())</f>
        <v>1</v>
      </c>
      <c r="Q30" s="73" t="str">
        <f ca="1">IF(P30&gt;=P23/2,N17,N43)</f>
        <v>Golden State Warriors</v>
      </c>
      <c r="R30" s="28"/>
      <c r="S30" s="28"/>
      <c r="T30" s="37"/>
    </row>
    <row r="31" spans="1:20" ht="15" thickBot="1" x14ac:dyDescent="0.4">
      <c r="A31" s="72" t="str">
        <f>'West Standings'!A10</f>
        <v>San Antonio Spurs</v>
      </c>
      <c r="B31" s="32">
        <f>VLOOKUP(A31,'West Standings'!$A$2:$E$17,5,FALSE)</f>
        <v>0.57317073170731703</v>
      </c>
      <c r="C31" s="33"/>
      <c r="D31" s="34">
        <f ca="1">_xlfn.BINOM.INV(D27,D28,RAND())</f>
        <v>6</v>
      </c>
      <c r="E31" s="74" t="str">
        <f ca="1">IF(D31&gt;=D27/2,A30,A31)</f>
        <v>Houston Rockets</v>
      </c>
      <c r="F31" s="30">
        <f ca="1">VLOOKUP(E31,'Team Table'!$A$1:$E$31,5,FALSE)</f>
        <v>0.79268292682926833</v>
      </c>
      <c r="G31" s="28"/>
      <c r="H31" s="37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37"/>
    </row>
    <row r="32" spans="1:20" ht="15" thickBot="1" x14ac:dyDescent="0.4">
      <c r="A32" s="83"/>
      <c r="B32" s="61"/>
      <c r="C32" s="28"/>
      <c r="D32" s="28"/>
      <c r="E32" s="28"/>
      <c r="F32" s="27"/>
      <c r="G32" s="28"/>
      <c r="H32" s="37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37"/>
    </row>
    <row r="33" spans="1:20" x14ac:dyDescent="0.35">
      <c r="A33" s="83"/>
      <c r="B33" s="35"/>
      <c r="C33" s="25" t="s">
        <v>2</v>
      </c>
      <c r="D33" s="26">
        <f>O1</f>
        <v>7</v>
      </c>
      <c r="E33" s="28"/>
      <c r="F33" s="27"/>
      <c r="G33" s="28"/>
      <c r="H33" s="37"/>
      <c r="I33" s="41"/>
      <c r="J33" s="41"/>
      <c r="K33" s="41"/>
      <c r="L33" s="41"/>
      <c r="M33" s="40"/>
      <c r="N33" s="28"/>
      <c r="O33" s="28"/>
      <c r="P33" s="28"/>
      <c r="Q33" s="28"/>
      <c r="R33" s="28"/>
      <c r="S33" s="28"/>
      <c r="T33" s="37"/>
    </row>
    <row r="34" spans="1:20" ht="15" thickBot="1" x14ac:dyDescent="0.4">
      <c r="A34" s="83"/>
      <c r="B34" s="36"/>
      <c r="C34" s="28" t="s">
        <v>3</v>
      </c>
      <c r="D34" s="45">
        <f>B36*(1-B37)/(B36*(1-B37)+B37*(1-B36))</f>
        <v>0.64281190626979101</v>
      </c>
      <c r="E34" s="28"/>
      <c r="F34" s="38"/>
      <c r="G34" s="33"/>
      <c r="H34" s="34">
        <f ca="1">_xlfn.BINOM.INV(H28,H29,RAND())</f>
        <v>3</v>
      </c>
      <c r="I34" s="75" t="str">
        <f ca="1">IF(H34&gt;=H28/2,E31,E37)</f>
        <v>Golden State Warriors</v>
      </c>
      <c r="J34" s="76">
        <f ca="1">VLOOKUP(I34,'Team Table'!$A$1:$E$31,5,FALSE)</f>
        <v>0.70731707317073167</v>
      </c>
      <c r="K34" s="86"/>
      <c r="L34" s="86"/>
      <c r="M34" s="28"/>
      <c r="N34" s="28"/>
      <c r="O34" s="28"/>
      <c r="P34" s="28"/>
      <c r="Q34" s="28"/>
      <c r="R34" s="28"/>
      <c r="S34" s="28"/>
      <c r="T34" s="37"/>
    </row>
    <row r="35" spans="1:20" ht="15" thickBot="1" x14ac:dyDescent="0.4">
      <c r="A35" s="78"/>
      <c r="B35" s="66"/>
      <c r="C35" s="28"/>
      <c r="D35" s="37"/>
      <c r="E35" s="28"/>
      <c r="F35" s="28"/>
      <c r="G35" s="28"/>
      <c r="H35" s="28"/>
      <c r="I35" s="62"/>
      <c r="J35" s="62"/>
      <c r="K35" s="62"/>
      <c r="L35" s="62"/>
      <c r="M35" s="28"/>
      <c r="N35" s="28"/>
      <c r="O35" s="28"/>
      <c r="P35" s="28"/>
      <c r="Q35" s="28"/>
      <c r="R35" s="28"/>
      <c r="S35" s="28"/>
      <c r="T35" s="37"/>
    </row>
    <row r="36" spans="1:20" ht="15" thickBot="1" x14ac:dyDescent="0.4">
      <c r="A36" s="72" t="str">
        <f>'West Standings'!A4</f>
        <v>Golden State Warriors</v>
      </c>
      <c r="B36" s="32">
        <f>VLOOKUP(A36,'West Standings'!$A$2:$E$17,5,FALSE)</f>
        <v>0.70731707317073167</v>
      </c>
      <c r="C36" s="28"/>
      <c r="D36" s="31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37"/>
    </row>
    <row r="37" spans="1:20" ht="15" thickBot="1" x14ac:dyDescent="0.4">
      <c r="A37" s="72" t="str">
        <f>'West Standings'!A9</f>
        <v>Minnesota Timberwolves</v>
      </c>
      <c r="B37" s="32">
        <f>VLOOKUP(A37,'West Standings'!$A$2:$E$17,5,FALSE)</f>
        <v>0.57317073170731703</v>
      </c>
      <c r="C37" s="33"/>
      <c r="D37" s="34">
        <f ca="1">_xlfn.BINOM.INV(D33,D34,RAND())</f>
        <v>6</v>
      </c>
      <c r="E37" s="74" t="str">
        <f ca="1">IF(D37&gt;=D33/2,A36,A37)</f>
        <v>Golden State Warriors</v>
      </c>
      <c r="F37" s="30">
        <f ca="1">VLOOKUP(E37,'Team Table'!$A$1:$E$31,5,FALSE)</f>
        <v>0.70731707317073167</v>
      </c>
      <c r="G37" s="28"/>
      <c r="H37" s="28"/>
      <c r="I37" s="28"/>
      <c r="J37" s="28"/>
      <c r="K37" s="24"/>
      <c r="L37" s="25" t="s">
        <v>2</v>
      </c>
      <c r="M37" s="26">
        <f>O1</f>
        <v>7</v>
      </c>
      <c r="N37" s="28"/>
      <c r="O37" s="28"/>
      <c r="P37" s="28"/>
      <c r="Q37" s="28"/>
      <c r="R37" s="28"/>
      <c r="S37" s="28"/>
      <c r="T37" s="37"/>
    </row>
    <row r="38" spans="1:20" x14ac:dyDescent="0.35">
      <c r="A38" s="83"/>
      <c r="B38" s="28"/>
      <c r="C38" s="28"/>
      <c r="D38" s="28"/>
      <c r="E38" s="28"/>
      <c r="F38" s="28"/>
      <c r="G38" s="28"/>
      <c r="H38" s="28"/>
      <c r="I38" s="28"/>
      <c r="J38" s="28"/>
      <c r="K38" s="27"/>
      <c r="L38" s="28" t="s">
        <v>3</v>
      </c>
      <c r="M38" s="39">
        <f ca="1">J34*(1-J47)/(J34*(1-J47)+J47*(1-J34))</f>
        <v>0.61941747572815531</v>
      </c>
      <c r="N38" s="28"/>
      <c r="O38" s="28"/>
      <c r="P38" s="28"/>
      <c r="Q38" s="28"/>
      <c r="R38" s="40"/>
      <c r="S38" s="28"/>
      <c r="T38" s="37"/>
    </row>
    <row r="39" spans="1:20" ht="15" thickBot="1" x14ac:dyDescent="0.4">
      <c r="A39" s="83"/>
      <c r="B39" s="28"/>
      <c r="C39" s="28"/>
      <c r="D39" s="28"/>
      <c r="E39" s="28"/>
      <c r="F39" s="28"/>
      <c r="G39" s="28"/>
      <c r="H39" s="28"/>
      <c r="I39" s="28"/>
      <c r="J39" s="28"/>
      <c r="K39" s="27"/>
      <c r="L39" s="28"/>
      <c r="M39" s="37"/>
      <c r="N39" s="28"/>
      <c r="O39" s="28"/>
      <c r="P39" s="28"/>
      <c r="Q39" s="28"/>
      <c r="R39" s="40"/>
      <c r="S39" s="28"/>
      <c r="T39" s="37"/>
    </row>
    <row r="40" spans="1:20" ht="15" thickBot="1" x14ac:dyDescent="0.4">
      <c r="A40" s="83"/>
      <c r="B40" s="24"/>
      <c r="C40" s="25" t="s">
        <v>2</v>
      </c>
      <c r="D40" s="26">
        <f>O1</f>
        <v>7</v>
      </c>
      <c r="E40" s="28"/>
      <c r="F40" s="28"/>
      <c r="G40" s="28"/>
      <c r="H40" s="28"/>
      <c r="I40" s="28"/>
      <c r="J40" s="28"/>
      <c r="K40" s="43"/>
      <c r="L40" s="28"/>
      <c r="M40" s="37"/>
      <c r="N40" s="28"/>
      <c r="O40" s="28"/>
      <c r="P40" s="28"/>
      <c r="Q40" s="28"/>
      <c r="R40" s="40"/>
      <c r="S40" s="28"/>
      <c r="T40" s="37"/>
    </row>
    <row r="41" spans="1:20" x14ac:dyDescent="0.35">
      <c r="A41" s="78"/>
      <c r="B41" s="27"/>
      <c r="C41" s="28" t="s">
        <v>3</v>
      </c>
      <c r="D41" s="39">
        <f>B43*(1-B44)/(B43*(1-B44)+B44*(1-B43))</f>
        <v>0.51261538461538592</v>
      </c>
      <c r="E41" s="28"/>
      <c r="F41" s="24"/>
      <c r="G41" s="25" t="s">
        <v>2</v>
      </c>
      <c r="H41" s="26">
        <f>O1</f>
        <v>7</v>
      </c>
      <c r="I41" s="28"/>
      <c r="J41" s="28"/>
      <c r="K41" s="27"/>
      <c r="L41" s="28"/>
      <c r="M41" s="37"/>
      <c r="N41" s="28"/>
      <c r="O41" s="28"/>
      <c r="P41" s="28"/>
      <c r="Q41" s="28"/>
      <c r="R41" s="40"/>
      <c r="S41" s="28"/>
      <c r="T41" s="37"/>
    </row>
    <row r="42" spans="1:20" x14ac:dyDescent="0.35">
      <c r="A42" s="78"/>
      <c r="B42" s="27"/>
      <c r="C42" s="28"/>
      <c r="D42" s="29"/>
      <c r="E42" s="28"/>
      <c r="F42" s="27"/>
      <c r="G42" s="28" t="s">
        <v>3</v>
      </c>
      <c r="H42" s="39">
        <f ca="1">F44*(1-F50)/(F44*(1-F50)+F50*(1-F44))</f>
        <v>0.51261538461538458</v>
      </c>
      <c r="I42" s="28"/>
      <c r="J42" s="28"/>
      <c r="K42" s="27"/>
      <c r="L42" s="28"/>
      <c r="M42" s="37"/>
      <c r="N42" s="40"/>
      <c r="O42" s="40"/>
      <c r="P42" s="40"/>
      <c r="Q42" s="40"/>
      <c r="R42" s="40"/>
      <c r="S42" s="28"/>
      <c r="T42" s="37"/>
    </row>
    <row r="43" spans="1:20" ht="15" thickBot="1" x14ac:dyDescent="0.4">
      <c r="A43" s="72" t="str">
        <f>'West Standings'!A5</f>
        <v>Portland Trail Blazers</v>
      </c>
      <c r="B43" s="32">
        <f>VLOOKUP(A43,'West Standings'!$A$2:$E$17,5,FALSE)</f>
        <v>0.59756097560975607</v>
      </c>
      <c r="C43" s="28"/>
      <c r="D43" s="31"/>
      <c r="E43" s="41"/>
      <c r="F43" s="27"/>
      <c r="G43" s="28"/>
      <c r="H43" s="37"/>
      <c r="I43" s="28"/>
      <c r="J43" s="28"/>
      <c r="K43" s="38"/>
      <c r="L43" s="33"/>
      <c r="M43" s="34">
        <f ca="1">_xlfn.BINOM.INV(M37,M38,RAND())</f>
        <v>4</v>
      </c>
      <c r="N43" s="75" t="str">
        <f ca="1">IF(M43&gt;=M37/2,I34,I47)</f>
        <v>Golden State Warriors</v>
      </c>
      <c r="O43" s="76">
        <f ca="1">VLOOKUP(N43,'Team Table'!$A$1:$E$31,5,FALSE)</f>
        <v>0.70731707317073167</v>
      </c>
      <c r="P43" s="28"/>
      <c r="Q43" s="28"/>
      <c r="R43" s="40"/>
      <c r="S43" s="28"/>
      <c r="T43" s="37"/>
    </row>
    <row r="44" spans="1:20" ht="15" thickBot="1" x14ac:dyDescent="0.4">
      <c r="A44" s="72" t="str">
        <f>'West Standings'!A8</f>
        <v>New Orleans Pelicans</v>
      </c>
      <c r="B44" s="32">
        <f>VLOOKUP(A44,'West Standings'!$A$2:$E$17,5,FALSE)</f>
        <v>0.58536585365853533</v>
      </c>
      <c r="C44" s="33"/>
      <c r="D44" s="34">
        <f ca="1">_xlfn.BINOM.INV(D40,D41,RAND())</f>
        <v>5</v>
      </c>
      <c r="E44" s="74" t="str">
        <f ca="1">IF(D44&gt;=D40/2,A43,A44)</f>
        <v>Portland Trail Blazers</v>
      </c>
      <c r="F44" s="30">
        <f ca="1">VLOOKUP(E44,'Team Table'!$A$1:$E$31,5,FALSE)</f>
        <v>0.59756097560975607</v>
      </c>
      <c r="G44" s="28"/>
      <c r="H44" s="37"/>
      <c r="I44" s="28"/>
      <c r="J44" s="28"/>
      <c r="K44" s="28"/>
      <c r="L44" s="28"/>
      <c r="M44" s="28"/>
      <c r="N44" s="28"/>
      <c r="O44" s="28"/>
      <c r="P44" s="28"/>
      <c r="Q44" s="28"/>
      <c r="R44" s="40"/>
      <c r="S44" s="28"/>
      <c r="T44" s="37"/>
    </row>
    <row r="45" spans="1:20" ht="15" thickBot="1" x14ac:dyDescent="0.4">
      <c r="A45" s="83"/>
      <c r="B45" s="61"/>
      <c r="C45" s="28"/>
      <c r="D45" s="28"/>
      <c r="E45" s="28"/>
      <c r="F45" s="27"/>
      <c r="G45" s="28"/>
      <c r="H45" s="37"/>
      <c r="I45" s="28"/>
      <c r="J45" s="28"/>
      <c r="K45" s="28"/>
      <c r="L45" s="28"/>
      <c r="M45" s="28"/>
      <c r="N45" s="28"/>
      <c r="O45" s="28"/>
      <c r="P45" s="28"/>
      <c r="Q45" s="28"/>
      <c r="R45" s="40"/>
      <c r="S45" s="28"/>
      <c r="T45" s="37"/>
    </row>
    <row r="46" spans="1:20" x14ac:dyDescent="0.35">
      <c r="A46" s="83"/>
      <c r="B46" s="35"/>
      <c r="C46" s="25" t="s">
        <v>2</v>
      </c>
      <c r="D46" s="26">
        <f>O1</f>
        <v>7</v>
      </c>
      <c r="E46" s="28"/>
      <c r="F46" s="27"/>
      <c r="G46" s="28"/>
      <c r="H46" s="37"/>
      <c r="I46" s="41"/>
      <c r="J46" s="41"/>
      <c r="K46" s="41"/>
      <c r="L46" s="41"/>
      <c r="M46" s="40"/>
      <c r="N46" s="28"/>
      <c r="O46" s="28"/>
      <c r="P46" s="28"/>
      <c r="Q46" s="28"/>
      <c r="R46" s="40"/>
      <c r="S46" s="28"/>
      <c r="T46" s="37"/>
    </row>
    <row r="47" spans="1:20" ht="15" thickBot="1" x14ac:dyDescent="0.4">
      <c r="A47" s="83"/>
      <c r="B47" s="36"/>
      <c r="C47" s="28" t="s">
        <v>3</v>
      </c>
      <c r="D47" s="45">
        <f>B49*(1-B50)/(B49*(1-B50)+B50*(1-B49))</f>
        <v>0.5</v>
      </c>
      <c r="E47" s="28"/>
      <c r="F47" s="38"/>
      <c r="G47" s="33"/>
      <c r="H47" s="34">
        <f ca="1">_xlfn.BINOM.INV(H41,H42,RAND())</f>
        <v>5</v>
      </c>
      <c r="I47" s="75" t="str">
        <f ca="1">IF(H47&gt;=H41/2,E44,E50)</f>
        <v>Portland Trail Blazers</v>
      </c>
      <c r="J47" s="76">
        <f ca="1">VLOOKUP(I47,'Team Table'!$A$1:$E$31,5,FALSE)</f>
        <v>0.59756097560975607</v>
      </c>
      <c r="K47" s="86"/>
      <c r="L47" s="86"/>
      <c r="M47" s="28"/>
      <c r="N47" s="28"/>
      <c r="O47" s="28"/>
      <c r="P47" s="28"/>
      <c r="Q47" s="28"/>
      <c r="R47" s="40"/>
      <c r="S47" s="28"/>
      <c r="T47" s="37"/>
    </row>
    <row r="48" spans="1:20" x14ac:dyDescent="0.35">
      <c r="A48" s="83"/>
      <c r="B48" s="36"/>
      <c r="C48" s="28"/>
      <c r="D48" s="37"/>
      <c r="E48" s="28"/>
      <c r="F48" s="28"/>
      <c r="G48" s="28"/>
      <c r="H48" s="28"/>
      <c r="I48" s="62"/>
      <c r="J48" s="62"/>
      <c r="K48" s="62"/>
      <c r="L48" s="62"/>
      <c r="M48" s="28"/>
      <c r="N48" s="28"/>
      <c r="O48" s="28"/>
      <c r="P48" s="28"/>
      <c r="Q48" s="28"/>
      <c r="R48" s="40"/>
      <c r="S48" s="28"/>
      <c r="T48" s="37"/>
    </row>
    <row r="49" spans="1:20" ht="15" thickBot="1" x14ac:dyDescent="0.4">
      <c r="A49" s="72" t="str">
        <f>'West Standings'!A6</f>
        <v>Oklahoma City Thunder</v>
      </c>
      <c r="B49" s="32">
        <f>VLOOKUP(A49,'West Standings'!$A$2:$E$17,5,FALSE)</f>
        <v>0.58536585365853655</v>
      </c>
      <c r="C49" s="28"/>
      <c r="D49" s="31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40"/>
      <c r="S49" s="28"/>
      <c r="T49" s="37"/>
    </row>
    <row r="50" spans="1:20" ht="15" thickBot="1" x14ac:dyDescent="0.4">
      <c r="A50" s="72" t="str">
        <f>'West Standings'!A7</f>
        <v>Utah Jazz</v>
      </c>
      <c r="B50" s="32">
        <f>VLOOKUP(A50,'West Standings'!$A$2:$E$17,5,FALSE)</f>
        <v>0.58536585365853655</v>
      </c>
      <c r="C50" s="33"/>
      <c r="D50" s="34">
        <f ca="1">_xlfn.BINOM.INV(D46,D47,RAND())</f>
        <v>4</v>
      </c>
      <c r="E50" s="74" t="str">
        <f ca="1">IF(D50&gt;=D46/2,A49,A50)</f>
        <v>Oklahoma City Thunder</v>
      </c>
      <c r="F50" s="30">
        <f ca="1">VLOOKUP(E50,'Team Table'!$A$1:$E$31,5,FALSE)</f>
        <v>0.58536585365853655</v>
      </c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40"/>
      <c r="S50" s="28"/>
      <c r="T50" s="37"/>
    </row>
    <row r="51" spans="1:20" ht="15" thickBot="1" x14ac:dyDescent="0.4">
      <c r="A51" s="84"/>
      <c r="B51" s="70"/>
      <c r="C51" s="65"/>
      <c r="D51" s="65"/>
      <c r="E51" s="71"/>
      <c r="F51" s="70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65"/>
      <c r="S51" s="33"/>
      <c r="T51" s="34"/>
    </row>
    <row r="52" spans="1:20" x14ac:dyDescent="0.35">
      <c r="A52" s="44"/>
      <c r="B52" s="42"/>
      <c r="C52" s="18" t="s">
        <v>172</v>
      </c>
      <c r="D52" s="18"/>
      <c r="E52" s="17"/>
      <c r="F52" s="42"/>
      <c r="G52" s="18"/>
      <c r="H52" s="18"/>
    </row>
    <row r="53" spans="1:20" x14ac:dyDescent="0.35">
      <c r="A53" s="13" t="str">
        <f>'East Standings'!A3</f>
        <v>Toronto Raptors</v>
      </c>
      <c r="B53">
        <v>200</v>
      </c>
      <c r="C53" s="46">
        <f>B53/(SUM($B$53:$B$68))</f>
        <v>0.2</v>
      </c>
    </row>
    <row r="54" spans="1:20" x14ac:dyDescent="0.35">
      <c r="A54" s="13" t="str">
        <f>'East Standings'!A4</f>
        <v>Boston Celtics</v>
      </c>
      <c r="B54">
        <v>82</v>
      </c>
      <c r="C54" s="46">
        <f t="shared" ref="C54:C68" si="0">B54/(SUM($B$53:$B$68))</f>
        <v>8.2000000000000003E-2</v>
      </c>
      <c r="G54" s="81" t="s">
        <v>214</v>
      </c>
      <c r="H54" s="81"/>
      <c r="I54" s="81"/>
    </row>
    <row r="55" spans="1:20" x14ac:dyDescent="0.35">
      <c r="A55" s="13" t="str">
        <f>'East Standings'!A5</f>
        <v>Philadelphia 76ers</v>
      </c>
      <c r="B55">
        <v>34</v>
      </c>
      <c r="C55" s="46">
        <f t="shared" si="0"/>
        <v>3.4000000000000002E-2</v>
      </c>
      <c r="G55" s="81"/>
      <c r="H55" s="81"/>
      <c r="I55" s="81"/>
    </row>
    <row r="56" spans="1:20" x14ac:dyDescent="0.35">
      <c r="A56" s="13" t="str">
        <f>'East Standings'!A6</f>
        <v>Cleveland Cavaliers</v>
      </c>
      <c r="B56">
        <v>21</v>
      </c>
      <c r="C56" s="46">
        <f t="shared" si="0"/>
        <v>2.1000000000000001E-2</v>
      </c>
    </row>
    <row r="57" spans="1:20" x14ac:dyDescent="0.35">
      <c r="A57" s="13" t="str">
        <f>'East Standings'!A7</f>
        <v>Indiana Pacers</v>
      </c>
      <c r="B57">
        <v>11</v>
      </c>
      <c r="C57" s="46">
        <f t="shared" si="0"/>
        <v>1.0999999999999999E-2</v>
      </c>
    </row>
    <row r="58" spans="1:20" x14ac:dyDescent="0.35">
      <c r="A58" s="13" t="str">
        <f>'East Standings'!A8</f>
        <v>Milwaukee Bucks</v>
      </c>
      <c r="B58">
        <v>2</v>
      </c>
      <c r="C58" s="46">
        <f t="shared" si="0"/>
        <v>2E-3</v>
      </c>
    </row>
    <row r="59" spans="1:20" x14ac:dyDescent="0.35">
      <c r="A59" s="13" t="str">
        <f>'East Standings'!A9</f>
        <v>Miami Heat</v>
      </c>
      <c r="B59">
        <v>2</v>
      </c>
      <c r="C59" s="46">
        <f t="shared" si="0"/>
        <v>2E-3</v>
      </c>
    </row>
    <row r="60" spans="1:20" x14ac:dyDescent="0.35">
      <c r="A60" s="13" t="str">
        <f>'East Standings'!A10</f>
        <v>Washington Wizards</v>
      </c>
      <c r="B60">
        <v>1</v>
      </c>
      <c r="C60" s="46">
        <f t="shared" si="0"/>
        <v>1E-3</v>
      </c>
    </row>
    <row r="61" spans="1:20" x14ac:dyDescent="0.35">
      <c r="A61" s="13" t="str">
        <f>'West Standings'!A3</f>
        <v>Houston Rockets</v>
      </c>
      <c r="B61">
        <v>489</v>
      </c>
      <c r="C61" s="46">
        <f t="shared" si="0"/>
        <v>0.48899999999999999</v>
      </c>
    </row>
    <row r="62" spans="1:20" x14ac:dyDescent="0.35">
      <c r="A62" s="13" t="str">
        <f>'West Standings'!A4</f>
        <v>Golden State Warriors</v>
      </c>
      <c r="B62">
        <v>101</v>
      </c>
      <c r="C62" s="46">
        <f t="shared" si="0"/>
        <v>0.10100000000000001</v>
      </c>
    </row>
    <row r="63" spans="1:20" x14ac:dyDescent="0.35">
      <c r="A63" s="13" t="str">
        <f>'West Standings'!A5</f>
        <v>Portland Trail Blazers</v>
      </c>
      <c r="B63" s="47">
        <v>11</v>
      </c>
      <c r="C63" s="46">
        <f t="shared" si="0"/>
        <v>1.0999999999999999E-2</v>
      </c>
      <c r="D63" s="44"/>
    </row>
    <row r="64" spans="1:20" x14ac:dyDescent="0.35">
      <c r="A64" s="13" t="str">
        <f>'West Standings'!A6</f>
        <v>Oklahoma City Thunder</v>
      </c>
      <c r="B64" s="18">
        <v>11</v>
      </c>
      <c r="C64" s="46">
        <f t="shared" si="0"/>
        <v>1.0999999999999999E-2</v>
      </c>
      <c r="D64" s="23"/>
    </row>
    <row r="65" spans="1:4" x14ac:dyDescent="0.35">
      <c r="A65" s="13" t="str">
        <f>'West Standings'!A7</f>
        <v>Utah Jazz</v>
      </c>
      <c r="B65" s="18">
        <v>13</v>
      </c>
      <c r="C65" s="46">
        <f t="shared" si="0"/>
        <v>1.2999999999999999E-2</v>
      </c>
      <c r="D65" s="23"/>
    </row>
    <row r="66" spans="1:4" x14ac:dyDescent="0.35">
      <c r="A66" s="13" t="str">
        <f>'West Standings'!A8</f>
        <v>New Orleans Pelicans</v>
      </c>
      <c r="B66" s="18">
        <v>18</v>
      </c>
      <c r="C66" s="46">
        <f t="shared" si="0"/>
        <v>1.7999999999999999E-2</v>
      </c>
      <c r="D66" s="23"/>
    </row>
    <row r="67" spans="1:4" x14ac:dyDescent="0.35">
      <c r="A67" s="13" t="str">
        <f>'West Standings'!A9</f>
        <v>Minnesota Timberwolves</v>
      </c>
      <c r="B67" s="18">
        <v>4</v>
      </c>
      <c r="C67" s="46">
        <f t="shared" si="0"/>
        <v>4.0000000000000001E-3</v>
      </c>
      <c r="D67" s="23"/>
    </row>
    <row r="68" spans="1:4" x14ac:dyDescent="0.35">
      <c r="A68" s="13" t="str">
        <f>'West Standings'!A10</f>
        <v>San Antonio Spurs</v>
      </c>
      <c r="B68" s="18">
        <v>0</v>
      </c>
      <c r="C68" s="46">
        <f t="shared" si="0"/>
        <v>0</v>
      </c>
      <c r="D68" s="18"/>
    </row>
    <row r="69" spans="1:4" x14ac:dyDescent="0.35">
      <c r="B69" s="18"/>
      <c r="C69" s="18"/>
      <c r="D69" s="18"/>
    </row>
  </sheetData>
  <mergeCells count="1">
    <mergeCell ref="G54:I55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K348"/>
  <sheetViews>
    <sheetView topLeftCell="A13" workbookViewId="0">
      <selection activeCell="P14" sqref="P14"/>
    </sheetView>
  </sheetViews>
  <sheetFormatPr defaultRowHeight="14.5" x14ac:dyDescent="0.35"/>
  <cols>
    <col min="3" max="3" width="10.6328125" bestFit="1" customWidth="1"/>
    <col min="4" max="4" width="7.6328125" bestFit="1" customWidth="1"/>
  </cols>
  <sheetData>
    <row r="1" spans="1:37" x14ac:dyDescent="0.35">
      <c r="A1" s="7" t="s">
        <v>12</v>
      </c>
      <c r="B1" t="s">
        <v>13</v>
      </c>
      <c r="C1" t="s">
        <v>14</v>
      </c>
      <c r="D1" t="s">
        <v>15</v>
      </c>
      <c r="E1">
        <v>1</v>
      </c>
      <c r="F1">
        <f>E1+1</f>
        <v>2</v>
      </c>
      <c r="G1">
        <f t="shared" ref="G1:T1" si="0">F1+1</f>
        <v>3</v>
      </c>
      <c r="H1">
        <f t="shared" si="0"/>
        <v>4</v>
      </c>
      <c r="I1">
        <f t="shared" si="0"/>
        <v>5</v>
      </c>
      <c r="J1">
        <f t="shared" si="0"/>
        <v>6</v>
      </c>
      <c r="K1">
        <f t="shared" si="0"/>
        <v>7</v>
      </c>
      <c r="L1">
        <f t="shared" si="0"/>
        <v>8</v>
      </c>
      <c r="M1">
        <f t="shared" si="0"/>
        <v>9</v>
      </c>
      <c r="N1">
        <f t="shared" si="0"/>
        <v>10</v>
      </c>
      <c r="O1">
        <f t="shared" si="0"/>
        <v>11</v>
      </c>
      <c r="P1">
        <f t="shared" si="0"/>
        <v>12</v>
      </c>
      <c r="Q1">
        <f t="shared" si="0"/>
        <v>13</v>
      </c>
      <c r="R1">
        <f t="shared" si="0"/>
        <v>14</v>
      </c>
      <c r="S1">
        <f t="shared" si="0"/>
        <v>15</v>
      </c>
      <c r="T1">
        <f t="shared" si="0"/>
        <v>16</v>
      </c>
    </row>
    <row r="2" spans="1:37" x14ac:dyDescent="0.35">
      <c r="A2" s="8"/>
      <c r="B2" t="s">
        <v>16</v>
      </c>
      <c r="C2">
        <v>1</v>
      </c>
      <c r="D2" t="s">
        <v>17</v>
      </c>
      <c r="E2">
        <v>0.5</v>
      </c>
      <c r="F2">
        <v>0.46500000000000002</v>
      </c>
      <c r="G2">
        <v>0.39400000000000002</v>
      </c>
      <c r="H2">
        <v>0.314</v>
      </c>
      <c r="I2">
        <v>0.16</v>
      </c>
      <c r="J2">
        <v>0.313</v>
      </c>
      <c r="K2">
        <v>0.16700000000000001</v>
      </c>
      <c r="L2">
        <v>0.19500000000000001</v>
      </c>
      <c r="M2">
        <v>9.6000000000000002E-2</v>
      </c>
      <c r="N2">
        <v>0.14299999999999999</v>
      </c>
      <c r="O2">
        <v>9.9999999999999995E-7</v>
      </c>
      <c r="P2">
        <v>9.9999999999999995E-7</v>
      </c>
      <c r="Q2">
        <v>9.9999999999999995E-7</v>
      </c>
      <c r="R2">
        <v>9.9999999999999995E-7</v>
      </c>
      <c r="S2">
        <v>0.99999899999999997</v>
      </c>
      <c r="T2">
        <v>9.9999999999999995E-7</v>
      </c>
      <c r="V2">
        <f>IF(E2=1,0.999999,IF(E2=0,0.000001,E2))</f>
        <v>0.5</v>
      </c>
      <c r="W2">
        <f t="shared" ref="W2:AK17" si="1">IF(F2=1,0.999999,IF(F2=0,0.000001,F2))</f>
        <v>0.46500000000000002</v>
      </c>
      <c r="X2">
        <f t="shared" si="1"/>
        <v>0.39400000000000002</v>
      </c>
      <c r="Y2">
        <f t="shared" si="1"/>
        <v>0.314</v>
      </c>
      <c r="Z2">
        <f t="shared" si="1"/>
        <v>0.16</v>
      </c>
      <c r="AA2">
        <f t="shared" si="1"/>
        <v>0.313</v>
      </c>
      <c r="AB2">
        <f t="shared" si="1"/>
        <v>0.16700000000000001</v>
      </c>
      <c r="AC2">
        <f t="shared" si="1"/>
        <v>0.19500000000000001</v>
      </c>
      <c r="AD2">
        <f t="shared" si="1"/>
        <v>9.6000000000000002E-2</v>
      </c>
      <c r="AE2">
        <f t="shared" si="1"/>
        <v>0.14299999999999999</v>
      </c>
      <c r="AF2">
        <f t="shared" si="1"/>
        <v>9.9999999999999995E-7</v>
      </c>
      <c r="AG2">
        <f t="shared" si="1"/>
        <v>9.9999999999999995E-7</v>
      </c>
      <c r="AH2">
        <f t="shared" si="1"/>
        <v>9.9999999999999995E-7</v>
      </c>
      <c r="AI2">
        <f t="shared" si="1"/>
        <v>9.9999999999999995E-7</v>
      </c>
      <c r="AJ2">
        <f t="shared" si="1"/>
        <v>0.99999899999999997</v>
      </c>
      <c r="AK2">
        <f t="shared" si="1"/>
        <v>9.9999999999999995E-7</v>
      </c>
    </row>
    <row r="3" spans="1:37" x14ac:dyDescent="0.35">
      <c r="A3" s="8"/>
      <c r="B3" t="s">
        <v>16</v>
      </c>
      <c r="C3">
        <f>C2+1</f>
        <v>2</v>
      </c>
      <c r="D3" t="s">
        <v>18</v>
      </c>
      <c r="E3">
        <v>0.53500000000000003</v>
      </c>
      <c r="F3">
        <v>0.5</v>
      </c>
      <c r="G3">
        <v>0.38300000000000001</v>
      </c>
      <c r="H3">
        <v>0.55600000000000005</v>
      </c>
      <c r="I3">
        <v>0.8</v>
      </c>
      <c r="J3">
        <v>0.27800000000000002</v>
      </c>
      <c r="K3">
        <v>0.27800000000000002</v>
      </c>
      <c r="L3">
        <v>0.55600000000000005</v>
      </c>
      <c r="M3">
        <v>0.5</v>
      </c>
      <c r="N3">
        <v>0.40699999999999997</v>
      </c>
      <c r="O3">
        <v>7.0999999999999994E-2</v>
      </c>
      <c r="P3">
        <v>9.9999999999999995E-7</v>
      </c>
      <c r="Q3">
        <v>9.9999999999999995E-7</v>
      </c>
      <c r="R3">
        <v>9.9999999999999995E-7</v>
      </c>
      <c r="S3">
        <v>7.0000000000000007E-2</v>
      </c>
      <c r="T3">
        <v>9.9999999999999995E-7</v>
      </c>
      <c r="V3">
        <f t="shared" ref="V3:V17" si="2">IF(E3=1,0.999999,IF(E3=0,0.000001,E3))</f>
        <v>0.53500000000000003</v>
      </c>
      <c r="W3">
        <f t="shared" si="1"/>
        <v>0.5</v>
      </c>
      <c r="X3">
        <f t="shared" si="1"/>
        <v>0.38300000000000001</v>
      </c>
      <c r="Y3">
        <f t="shared" si="1"/>
        <v>0.55600000000000005</v>
      </c>
      <c r="Z3">
        <f t="shared" si="1"/>
        <v>0.8</v>
      </c>
      <c r="AA3">
        <f t="shared" si="1"/>
        <v>0.27800000000000002</v>
      </c>
      <c r="AB3">
        <f t="shared" si="1"/>
        <v>0.27800000000000002</v>
      </c>
      <c r="AC3">
        <f t="shared" si="1"/>
        <v>0.55600000000000005</v>
      </c>
      <c r="AD3">
        <f t="shared" si="1"/>
        <v>0.5</v>
      </c>
      <c r="AE3">
        <f t="shared" si="1"/>
        <v>0.40699999999999997</v>
      </c>
      <c r="AF3">
        <f t="shared" si="1"/>
        <v>7.0999999999999994E-2</v>
      </c>
      <c r="AG3">
        <f t="shared" si="1"/>
        <v>9.9999999999999995E-7</v>
      </c>
      <c r="AH3">
        <f t="shared" si="1"/>
        <v>9.9999999999999995E-7</v>
      </c>
      <c r="AI3">
        <f t="shared" si="1"/>
        <v>9.9999999999999995E-7</v>
      </c>
      <c r="AJ3">
        <f t="shared" si="1"/>
        <v>7.0000000000000007E-2</v>
      </c>
      <c r="AK3">
        <f t="shared" si="1"/>
        <v>9.9999999999999995E-7</v>
      </c>
    </row>
    <row r="4" spans="1:37" x14ac:dyDescent="0.35">
      <c r="A4" s="8"/>
      <c r="B4" t="s">
        <v>16</v>
      </c>
      <c r="C4">
        <f t="shared" ref="C4:C17" si="3">C3+1</f>
        <v>3</v>
      </c>
      <c r="D4" t="s">
        <v>19</v>
      </c>
      <c r="E4">
        <v>0.60599999999999998</v>
      </c>
      <c r="F4">
        <v>0.61699999999999999</v>
      </c>
      <c r="G4">
        <v>0.5</v>
      </c>
      <c r="H4">
        <v>0.375</v>
      </c>
      <c r="I4">
        <v>0.5</v>
      </c>
      <c r="J4">
        <v>0.45200000000000001</v>
      </c>
      <c r="K4">
        <v>0.4</v>
      </c>
      <c r="L4">
        <v>9.9999999999999995E-7</v>
      </c>
      <c r="M4">
        <v>9.9999999999999995E-7</v>
      </c>
      <c r="N4">
        <v>0.308</v>
      </c>
      <c r="O4">
        <v>0.29199999999999998</v>
      </c>
      <c r="P4">
        <v>9.9999999999999995E-7</v>
      </c>
      <c r="Q4">
        <v>9.9999999999999995E-7</v>
      </c>
      <c r="R4">
        <v>0.16400000000000001</v>
      </c>
      <c r="S4">
        <v>0.5</v>
      </c>
      <c r="T4">
        <v>9.9999999999999995E-7</v>
      </c>
      <c r="V4">
        <f t="shared" si="2"/>
        <v>0.60599999999999998</v>
      </c>
      <c r="W4">
        <f t="shared" si="1"/>
        <v>0.61699999999999999</v>
      </c>
      <c r="X4">
        <f t="shared" si="1"/>
        <v>0.5</v>
      </c>
      <c r="Y4">
        <f t="shared" si="1"/>
        <v>0.375</v>
      </c>
      <c r="Z4">
        <f t="shared" si="1"/>
        <v>0.5</v>
      </c>
      <c r="AA4">
        <f t="shared" si="1"/>
        <v>0.45200000000000001</v>
      </c>
      <c r="AB4">
        <f t="shared" si="1"/>
        <v>0.4</v>
      </c>
      <c r="AC4">
        <f t="shared" si="1"/>
        <v>9.9999999999999995E-7</v>
      </c>
      <c r="AD4">
        <f t="shared" si="1"/>
        <v>9.9999999999999995E-7</v>
      </c>
      <c r="AE4">
        <f t="shared" si="1"/>
        <v>0.308</v>
      </c>
      <c r="AF4">
        <f t="shared" si="1"/>
        <v>0.29199999999999998</v>
      </c>
      <c r="AG4">
        <f t="shared" si="1"/>
        <v>9.9999999999999995E-7</v>
      </c>
      <c r="AH4">
        <f t="shared" si="1"/>
        <v>9.9999999999999995E-7</v>
      </c>
      <c r="AI4">
        <f t="shared" si="1"/>
        <v>0.16400000000000001</v>
      </c>
      <c r="AJ4">
        <f t="shared" si="1"/>
        <v>0.5</v>
      </c>
      <c r="AK4">
        <f t="shared" si="1"/>
        <v>9.9999999999999995E-7</v>
      </c>
    </row>
    <row r="5" spans="1:37" x14ac:dyDescent="0.35">
      <c r="A5" s="8"/>
      <c r="B5" t="s">
        <v>16</v>
      </c>
      <c r="C5">
        <f t="shared" si="3"/>
        <v>4</v>
      </c>
      <c r="D5" t="s">
        <v>20</v>
      </c>
      <c r="E5">
        <v>0.68600000000000005</v>
      </c>
      <c r="F5">
        <v>0.44400000000000001</v>
      </c>
      <c r="G5">
        <v>0.625</v>
      </c>
      <c r="H5">
        <v>0.5</v>
      </c>
      <c r="I5">
        <v>0.44900000000000001</v>
      </c>
      <c r="J5">
        <v>0.66700000000000004</v>
      </c>
      <c r="K5">
        <v>0.6</v>
      </c>
      <c r="L5">
        <v>0.7</v>
      </c>
      <c r="M5">
        <v>0.33300000000000002</v>
      </c>
      <c r="N5">
        <v>9.9999999999999995E-7</v>
      </c>
      <c r="O5">
        <v>9.9999999999999995E-7</v>
      </c>
      <c r="P5">
        <v>0.316</v>
      </c>
      <c r="Q5">
        <v>0.19700000000000001</v>
      </c>
      <c r="R5">
        <v>9.9999999999999995E-7</v>
      </c>
      <c r="S5">
        <v>9.9999999999999995E-7</v>
      </c>
      <c r="T5">
        <v>9.9999999999999995E-7</v>
      </c>
      <c r="V5">
        <f t="shared" si="2"/>
        <v>0.68600000000000005</v>
      </c>
      <c r="W5">
        <f t="shared" si="1"/>
        <v>0.44400000000000001</v>
      </c>
      <c r="X5">
        <f t="shared" si="1"/>
        <v>0.625</v>
      </c>
      <c r="Y5">
        <f t="shared" si="1"/>
        <v>0.5</v>
      </c>
      <c r="Z5">
        <f t="shared" si="1"/>
        <v>0.44900000000000001</v>
      </c>
      <c r="AA5">
        <f t="shared" si="1"/>
        <v>0.66700000000000004</v>
      </c>
      <c r="AB5">
        <f t="shared" si="1"/>
        <v>0.6</v>
      </c>
      <c r="AC5">
        <f t="shared" si="1"/>
        <v>0.7</v>
      </c>
      <c r="AD5">
        <f t="shared" si="1"/>
        <v>0.33300000000000002</v>
      </c>
      <c r="AE5">
        <f t="shared" si="1"/>
        <v>9.9999999999999995E-7</v>
      </c>
      <c r="AF5">
        <f t="shared" si="1"/>
        <v>9.9999999999999995E-7</v>
      </c>
      <c r="AG5">
        <f t="shared" si="1"/>
        <v>0.316</v>
      </c>
      <c r="AH5">
        <f t="shared" si="1"/>
        <v>0.19700000000000001</v>
      </c>
      <c r="AI5">
        <f t="shared" si="1"/>
        <v>9.9999999999999995E-7</v>
      </c>
      <c r="AJ5">
        <f t="shared" si="1"/>
        <v>9.9999999999999995E-7</v>
      </c>
      <c r="AK5">
        <f t="shared" si="1"/>
        <v>9.9999999999999995E-7</v>
      </c>
    </row>
    <row r="6" spans="1:37" x14ac:dyDescent="0.35">
      <c r="A6" s="8"/>
      <c r="B6" t="s">
        <v>16</v>
      </c>
      <c r="C6">
        <f t="shared" si="3"/>
        <v>5</v>
      </c>
      <c r="D6" t="s">
        <v>21</v>
      </c>
      <c r="E6">
        <v>0.84</v>
      </c>
      <c r="F6">
        <v>0.2</v>
      </c>
      <c r="G6">
        <v>0.5</v>
      </c>
      <c r="H6">
        <v>0.55100000000000005</v>
      </c>
      <c r="I6">
        <v>0.5</v>
      </c>
      <c r="J6">
        <v>9.9999999999999995E-7</v>
      </c>
      <c r="K6">
        <v>9.9999999999999995E-7</v>
      </c>
      <c r="L6">
        <v>0.75</v>
      </c>
      <c r="M6">
        <v>0.66700000000000004</v>
      </c>
      <c r="N6">
        <v>9.9999999999999995E-7</v>
      </c>
      <c r="O6">
        <v>9.9999999999999995E-7</v>
      </c>
      <c r="P6">
        <v>0.33100000000000002</v>
      </c>
      <c r="Q6">
        <v>0.2</v>
      </c>
      <c r="R6">
        <v>9.9999999999999995E-7</v>
      </c>
      <c r="S6">
        <v>9.9999999999999995E-7</v>
      </c>
      <c r="T6">
        <v>9.9999999999999995E-7</v>
      </c>
      <c r="V6">
        <f t="shared" si="2"/>
        <v>0.84</v>
      </c>
      <c r="W6">
        <f t="shared" si="1"/>
        <v>0.2</v>
      </c>
      <c r="X6">
        <f t="shared" si="1"/>
        <v>0.5</v>
      </c>
      <c r="Y6">
        <f t="shared" si="1"/>
        <v>0.55100000000000005</v>
      </c>
      <c r="Z6">
        <f t="shared" si="1"/>
        <v>0.5</v>
      </c>
      <c r="AA6">
        <f t="shared" si="1"/>
        <v>9.9999999999999995E-7</v>
      </c>
      <c r="AB6">
        <f t="shared" si="1"/>
        <v>9.9999999999999995E-7</v>
      </c>
      <c r="AC6">
        <f t="shared" si="1"/>
        <v>0.75</v>
      </c>
      <c r="AD6">
        <f t="shared" si="1"/>
        <v>0.66700000000000004</v>
      </c>
      <c r="AE6">
        <f t="shared" si="1"/>
        <v>9.9999999999999995E-7</v>
      </c>
      <c r="AF6">
        <f t="shared" si="1"/>
        <v>9.9999999999999995E-7</v>
      </c>
      <c r="AG6">
        <f t="shared" si="1"/>
        <v>0.33100000000000002</v>
      </c>
      <c r="AH6">
        <f t="shared" si="1"/>
        <v>0.2</v>
      </c>
      <c r="AI6">
        <f t="shared" si="1"/>
        <v>9.9999999999999995E-7</v>
      </c>
      <c r="AJ6">
        <f t="shared" si="1"/>
        <v>9.9999999999999995E-7</v>
      </c>
      <c r="AK6">
        <f t="shared" si="1"/>
        <v>9.9999999999999995E-7</v>
      </c>
    </row>
    <row r="7" spans="1:37" x14ac:dyDescent="0.35">
      <c r="A7" s="8"/>
      <c r="B7" t="s">
        <v>16</v>
      </c>
      <c r="C7">
        <f t="shared" si="3"/>
        <v>6</v>
      </c>
      <c r="D7" t="s">
        <v>22</v>
      </c>
      <c r="E7">
        <v>0.68799999999999994</v>
      </c>
      <c r="F7">
        <v>0.72199999999999998</v>
      </c>
      <c r="G7">
        <v>0.54800000000000004</v>
      </c>
      <c r="H7">
        <v>0.33300000000000002</v>
      </c>
      <c r="I7">
        <v>0.99999899999999997</v>
      </c>
      <c r="J7">
        <v>9.9999999999999995E-7</v>
      </c>
      <c r="K7">
        <v>0.375</v>
      </c>
      <c r="L7">
        <v>0.75</v>
      </c>
      <c r="M7">
        <v>9.9999999999999995E-7</v>
      </c>
      <c r="N7">
        <v>0.4</v>
      </c>
      <c r="O7">
        <v>0.35099999999999998</v>
      </c>
      <c r="P7">
        <v>9.9999999999999995E-7</v>
      </c>
      <c r="Q7">
        <v>9.9999999999999995E-7</v>
      </c>
      <c r="R7">
        <v>0.125</v>
      </c>
      <c r="S7">
        <v>9.9999999999999995E-7</v>
      </c>
      <c r="T7">
        <v>9.9999999999999995E-7</v>
      </c>
      <c r="V7">
        <f t="shared" si="2"/>
        <v>0.68799999999999994</v>
      </c>
      <c r="W7">
        <f t="shared" si="1"/>
        <v>0.72199999999999998</v>
      </c>
      <c r="X7">
        <f t="shared" si="1"/>
        <v>0.54800000000000004</v>
      </c>
      <c r="Y7">
        <f t="shared" si="1"/>
        <v>0.33300000000000002</v>
      </c>
      <c r="Z7">
        <f t="shared" si="1"/>
        <v>0.99999899999999997</v>
      </c>
      <c r="AA7">
        <f t="shared" si="1"/>
        <v>9.9999999999999995E-7</v>
      </c>
      <c r="AB7">
        <f t="shared" si="1"/>
        <v>0.375</v>
      </c>
      <c r="AC7">
        <f t="shared" si="1"/>
        <v>0.75</v>
      </c>
      <c r="AD7">
        <f t="shared" si="1"/>
        <v>9.9999999999999995E-7</v>
      </c>
      <c r="AE7">
        <f t="shared" si="1"/>
        <v>0.4</v>
      </c>
      <c r="AF7">
        <f t="shared" si="1"/>
        <v>0.35099999999999998</v>
      </c>
      <c r="AG7">
        <f t="shared" si="1"/>
        <v>9.9999999999999995E-7</v>
      </c>
      <c r="AH7">
        <f t="shared" si="1"/>
        <v>9.9999999999999995E-7</v>
      </c>
      <c r="AI7">
        <f t="shared" si="1"/>
        <v>0.125</v>
      </c>
      <c r="AJ7">
        <f t="shared" si="1"/>
        <v>9.9999999999999995E-7</v>
      </c>
      <c r="AK7">
        <f t="shared" si="1"/>
        <v>9.9999999999999995E-7</v>
      </c>
    </row>
    <row r="8" spans="1:37" x14ac:dyDescent="0.35">
      <c r="A8" s="8"/>
      <c r="B8" t="s">
        <v>16</v>
      </c>
      <c r="C8">
        <f t="shared" si="3"/>
        <v>7</v>
      </c>
      <c r="D8" t="s">
        <v>23</v>
      </c>
      <c r="E8">
        <v>0.83299999999999996</v>
      </c>
      <c r="F8">
        <v>0.72199999999999998</v>
      </c>
      <c r="G8">
        <v>0.6</v>
      </c>
      <c r="H8">
        <v>0.4</v>
      </c>
      <c r="I8">
        <v>9.9999999999999995E-7</v>
      </c>
      <c r="J8">
        <v>0.625</v>
      </c>
      <c r="K8">
        <v>9.9999999999999995E-7</v>
      </c>
      <c r="L8">
        <v>0.5</v>
      </c>
      <c r="M8">
        <v>9.9999999999999995E-7</v>
      </c>
      <c r="N8">
        <v>0.39500000000000002</v>
      </c>
      <c r="O8">
        <v>0.99999899999999997</v>
      </c>
      <c r="P8">
        <v>9.9999999999999995E-7</v>
      </c>
      <c r="Q8">
        <v>9.9999999999999995E-7</v>
      </c>
      <c r="R8">
        <v>9.9999999999999995E-7</v>
      </c>
      <c r="S8">
        <v>0.33300000000000002</v>
      </c>
      <c r="T8">
        <v>9.9999999999999995E-7</v>
      </c>
      <c r="V8">
        <f t="shared" si="2"/>
        <v>0.83299999999999996</v>
      </c>
      <c r="W8">
        <f t="shared" si="1"/>
        <v>0.72199999999999998</v>
      </c>
      <c r="X8">
        <f t="shared" si="1"/>
        <v>0.6</v>
      </c>
      <c r="Y8">
        <f t="shared" si="1"/>
        <v>0.4</v>
      </c>
      <c r="Z8">
        <f t="shared" si="1"/>
        <v>9.9999999999999995E-7</v>
      </c>
      <c r="AA8">
        <f t="shared" si="1"/>
        <v>0.625</v>
      </c>
      <c r="AB8">
        <f t="shared" si="1"/>
        <v>9.9999999999999995E-7</v>
      </c>
      <c r="AC8">
        <f t="shared" si="1"/>
        <v>0.5</v>
      </c>
      <c r="AD8">
        <f t="shared" si="1"/>
        <v>9.9999999999999995E-7</v>
      </c>
      <c r="AE8">
        <f t="shared" si="1"/>
        <v>0.39500000000000002</v>
      </c>
      <c r="AF8">
        <f t="shared" si="1"/>
        <v>0.99999899999999997</v>
      </c>
      <c r="AG8">
        <f t="shared" si="1"/>
        <v>9.9999999999999995E-7</v>
      </c>
      <c r="AH8">
        <f t="shared" si="1"/>
        <v>9.9999999999999995E-7</v>
      </c>
      <c r="AI8">
        <f t="shared" si="1"/>
        <v>9.9999999999999995E-7</v>
      </c>
      <c r="AJ8">
        <f t="shared" si="1"/>
        <v>0.33300000000000002</v>
      </c>
      <c r="AK8">
        <f t="shared" si="1"/>
        <v>9.9999999999999995E-7</v>
      </c>
    </row>
    <row r="9" spans="1:37" x14ac:dyDescent="0.35">
      <c r="A9" s="8"/>
      <c r="B9" t="s">
        <v>16</v>
      </c>
      <c r="C9">
        <f t="shared" si="3"/>
        <v>8</v>
      </c>
      <c r="D9" t="s">
        <v>24</v>
      </c>
      <c r="E9">
        <v>0.80500000000000005</v>
      </c>
      <c r="F9">
        <v>0.44400000000000001</v>
      </c>
      <c r="G9">
        <v>0.99999899999999997</v>
      </c>
      <c r="H9">
        <v>0.3</v>
      </c>
      <c r="I9">
        <v>0.25</v>
      </c>
      <c r="J9">
        <v>0.25</v>
      </c>
      <c r="K9">
        <v>0.5</v>
      </c>
      <c r="L9">
        <v>9.9999999999999995E-7</v>
      </c>
      <c r="M9">
        <v>0.47399999999999998</v>
      </c>
      <c r="N9">
        <v>9.9999999999999995E-7</v>
      </c>
      <c r="O9">
        <v>9.9999999999999995E-7</v>
      </c>
      <c r="P9">
        <v>0.99999899999999997</v>
      </c>
      <c r="Q9">
        <v>9.9999999999999995E-7</v>
      </c>
      <c r="R9">
        <v>9.9999999999999995E-7</v>
      </c>
      <c r="S9">
        <v>9.9999999999999995E-7</v>
      </c>
      <c r="T9">
        <v>9.9999999999999995E-7</v>
      </c>
      <c r="V9">
        <f t="shared" si="2"/>
        <v>0.80500000000000005</v>
      </c>
      <c r="W9">
        <f t="shared" si="1"/>
        <v>0.44400000000000001</v>
      </c>
      <c r="X9">
        <f t="shared" si="1"/>
        <v>0.99999899999999997</v>
      </c>
      <c r="Y9">
        <f t="shared" si="1"/>
        <v>0.3</v>
      </c>
      <c r="Z9">
        <f t="shared" si="1"/>
        <v>0.25</v>
      </c>
      <c r="AA9">
        <f t="shared" si="1"/>
        <v>0.25</v>
      </c>
      <c r="AB9">
        <f t="shared" si="1"/>
        <v>0.5</v>
      </c>
      <c r="AC9">
        <f t="shared" si="1"/>
        <v>9.9999999999999995E-7</v>
      </c>
      <c r="AD9">
        <f t="shared" si="1"/>
        <v>0.47399999999999998</v>
      </c>
      <c r="AE9">
        <f t="shared" si="1"/>
        <v>9.9999999999999995E-7</v>
      </c>
      <c r="AF9">
        <f t="shared" si="1"/>
        <v>9.9999999999999995E-7</v>
      </c>
      <c r="AG9">
        <f t="shared" si="1"/>
        <v>0.99999899999999997</v>
      </c>
      <c r="AH9">
        <f t="shared" si="1"/>
        <v>9.9999999999999995E-7</v>
      </c>
      <c r="AI9">
        <f t="shared" si="1"/>
        <v>9.9999999999999995E-7</v>
      </c>
      <c r="AJ9">
        <f t="shared" si="1"/>
        <v>9.9999999999999995E-7</v>
      </c>
      <c r="AK9">
        <f t="shared" si="1"/>
        <v>9.9999999999999995E-7</v>
      </c>
    </row>
    <row r="10" spans="1:37" x14ac:dyDescent="0.35">
      <c r="A10" s="8"/>
      <c r="B10" t="s">
        <v>16</v>
      </c>
      <c r="C10">
        <f t="shared" si="3"/>
        <v>9</v>
      </c>
      <c r="D10" t="s">
        <v>25</v>
      </c>
      <c r="E10">
        <v>0.90400000000000003</v>
      </c>
      <c r="F10">
        <v>0.5</v>
      </c>
      <c r="G10">
        <v>0.99999899999999997</v>
      </c>
      <c r="H10">
        <v>0.66700000000000004</v>
      </c>
      <c r="I10">
        <v>0.33300000000000002</v>
      </c>
      <c r="J10">
        <v>9.9999999999999995E-7</v>
      </c>
      <c r="K10">
        <v>9.9999999999999995E-7</v>
      </c>
      <c r="L10">
        <v>0.52600000000000002</v>
      </c>
      <c r="M10">
        <v>9.9999999999999995E-7</v>
      </c>
      <c r="N10">
        <v>9.9999999999999995E-7</v>
      </c>
      <c r="O10">
        <v>9.9999999999999995E-7</v>
      </c>
      <c r="P10">
        <v>9.9999999999999995E-7</v>
      </c>
      <c r="Q10">
        <v>9.9999999999999995E-7</v>
      </c>
      <c r="R10">
        <v>9.9999999999999995E-7</v>
      </c>
      <c r="S10">
        <v>9.9999999999999995E-7</v>
      </c>
      <c r="T10">
        <v>9.9999999999999995E-7</v>
      </c>
      <c r="V10">
        <f t="shared" si="2"/>
        <v>0.90400000000000003</v>
      </c>
      <c r="W10">
        <f t="shared" si="1"/>
        <v>0.5</v>
      </c>
      <c r="X10">
        <f t="shared" si="1"/>
        <v>0.99999899999999997</v>
      </c>
      <c r="Y10">
        <f t="shared" si="1"/>
        <v>0.66700000000000004</v>
      </c>
      <c r="Z10">
        <f t="shared" si="1"/>
        <v>0.33300000000000002</v>
      </c>
      <c r="AA10">
        <f t="shared" si="1"/>
        <v>9.9999999999999995E-7</v>
      </c>
      <c r="AB10">
        <f t="shared" si="1"/>
        <v>9.9999999999999995E-7</v>
      </c>
      <c r="AC10">
        <f t="shared" si="1"/>
        <v>0.52600000000000002</v>
      </c>
      <c r="AD10">
        <f t="shared" si="1"/>
        <v>9.9999999999999995E-7</v>
      </c>
      <c r="AE10">
        <f t="shared" si="1"/>
        <v>9.9999999999999995E-7</v>
      </c>
      <c r="AF10">
        <f t="shared" si="1"/>
        <v>9.9999999999999995E-7</v>
      </c>
      <c r="AG10">
        <f t="shared" si="1"/>
        <v>9.9999999999999995E-7</v>
      </c>
      <c r="AH10">
        <f t="shared" si="1"/>
        <v>9.9999999999999995E-7</v>
      </c>
      <c r="AI10">
        <f t="shared" si="1"/>
        <v>9.9999999999999995E-7</v>
      </c>
      <c r="AJ10">
        <f t="shared" si="1"/>
        <v>9.9999999999999995E-7</v>
      </c>
      <c r="AK10">
        <f t="shared" si="1"/>
        <v>9.9999999999999995E-7</v>
      </c>
    </row>
    <row r="11" spans="1:37" x14ac:dyDescent="0.35">
      <c r="A11" s="8"/>
      <c r="B11" t="s">
        <v>16</v>
      </c>
      <c r="C11">
        <f t="shared" si="3"/>
        <v>10</v>
      </c>
      <c r="D11" t="s">
        <v>26</v>
      </c>
      <c r="E11">
        <v>0.85699999999999998</v>
      </c>
      <c r="F11">
        <v>0.59299999999999997</v>
      </c>
      <c r="G11">
        <v>0.69199999999999995</v>
      </c>
      <c r="H11">
        <v>0.99999899999999997</v>
      </c>
      <c r="I11">
        <v>0.99999899999999997</v>
      </c>
      <c r="J11">
        <v>0.6</v>
      </c>
      <c r="K11">
        <v>0.60499999999999998</v>
      </c>
      <c r="L11">
        <v>9.9999999999999995E-7</v>
      </c>
      <c r="M11">
        <v>0.99999899999999997</v>
      </c>
      <c r="N11">
        <v>9.9999999999999995E-7</v>
      </c>
      <c r="O11">
        <v>0.66700000000000004</v>
      </c>
      <c r="P11">
        <v>9.9999999999999995E-7</v>
      </c>
      <c r="Q11">
        <v>9.9999999999999995E-7</v>
      </c>
      <c r="R11">
        <v>9.9999999999999995E-7</v>
      </c>
      <c r="S11">
        <v>0.16700000000000001</v>
      </c>
      <c r="T11">
        <v>9.9999999999999995E-7</v>
      </c>
      <c r="V11">
        <f t="shared" si="2"/>
        <v>0.85699999999999998</v>
      </c>
      <c r="W11">
        <f t="shared" si="1"/>
        <v>0.59299999999999997</v>
      </c>
      <c r="X11">
        <f t="shared" si="1"/>
        <v>0.69199999999999995</v>
      </c>
      <c r="Y11">
        <f t="shared" si="1"/>
        <v>0.99999899999999997</v>
      </c>
      <c r="Z11">
        <f t="shared" si="1"/>
        <v>0.99999899999999997</v>
      </c>
      <c r="AA11">
        <f t="shared" si="1"/>
        <v>0.6</v>
      </c>
      <c r="AB11">
        <f t="shared" si="1"/>
        <v>0.60499999999999998</v>
      </c>
      <c r="AC11">
        <f t="shared" si="1"/>
        <v>9.9999999999999995E-7</v>
      </c>
      <c r="AD11">
        <f t="shared" si="1"/>
        <v>0.99999899999999997</v>
      </c>
      <c r="AE11">
        <f t="shared" si="1"/>
        <v>9.9999999999999995E-7</v>
      </c>
      <c r="AF11">
        <f t="shared" si="1"/>
        <v>0.66700000000000004</v>
      </c>
      <c r="AG11">
        <f t="shared" si="1"/>
        <v>9.9999999999999995E-7</v>
      </c>
      <c r="AH11">
        <f t="shared" si="1"/>
        <v>9.9999999999999995E-7</v>
      </c>
      <c r="AI11">
        <f t="shared" si="1"/>
        <v>9.9999999999999995E-7</v>
      </c>
      <c r="AJ11">
        <f t="shared" si="1"/>
        <v>0.16700000000000001</v>
      </c>
      <c r="AK11">
        <f t="shared" si="1"/>
        <v>9.9999999999999995E-7</v>
      </c>
    </row>
    <row r="12" spans="1:37" x14ac:dyDescent="0.35">
      <c r="A12" s="8"/>
      <c r="B12" t="s">
        <v>16</v>
      </c>
      <c r="C12">
        <f t="shared" si="3"/>
        <v>11</v>
      </c>
      <c r="D12" t="s">
        <v>27</v>
      </c>
      <c r="E12">
        <v>0.5</v>
      </c>
      <c r="F12">
        <v>0.92900000000000005</v>
      </c>
      <c r="G12">
        <v>0.70799999999999996</v>
      </c>
      <c r="H12">
        <v>9.9999999999999995E-7</v>
      </c>
      <c r="I12">
        <v>9.9999999999999995E-7</v>
      </c>
      <c r="J12">
        <v>0.64900000000000002</v>
      </c>
      <c r="K12">
        <v>9.9999999999999995E-7</v>
      </c>
      <c r="L12">
        <v>0.99999899999999997</v>
      </c>
      <c r="M12">
        <v>9.9999999999999995E-7</v>
      </c>
      <c r="N12">
        <v>0.33300000000000002</v>
      </c>
      <c r="O12">
        <v>9.9999999999999995E-7</v>
      </c>
      <c r="P12">
        <v>9.9999999999999995E-7</v>
      </c>
      <c r="Q12">
        <v>9.9999999999999995E-7</v>
      </c>
      <c r="R12">
        <v>9.9999999999999995E-7</v>
      </c>
      <c r="S12">
        <v>9.9999999999999995E-7</v>
      </c>
      <c r="T12">
        <v>9.9999999999999995E-7</v>
      </c>
      <c r="V12">
        <f t="shared" si="2"/>
        <v>0.5</v>
      </c>
      <c r="W12">
        <f t="shared" si="1"/>
        <v>0.92900000000000005</v>
      </c>
      <c r="X12">
        <f t="shared" si="1"/>
        <v>0.70799999999999996</v>
      </c>
      <c r="Y12">
        <f t="shared" si="1"/>
        <v>9.9999999999999995E-7</v>
      </c>
      <c r="Z12">
        <f t="shared" si="1"/>
        <v>9.9999999999999995E-7</v>
      </c>
      <c r="AA12">
        <f t="shared" si="1"/>
        <v>0.64900000000000002</v>
      </c>
      <c r="AB12">
        <f t="shared" si="1"/>
        <v>9.9999999999999995E-7</v>
      </c>
      <c r="AC12">
        <f t="shared" si="1"/>
        <v>0.99999899999999997</v>
      </c>
      <c r="AD12">
        <f t="shared" si="1"/>
        <v>9.9999999999999995E-7</v>
      </c>
      <c r="AE12">
        <f t="shared" si="1"/>
        <v>0.33300000000000002</v>
      </c>
      <c r="AF12">
        <f t="shared" si="1"/>
        <v>9.9999999999999995E-7</v>
      </c>
      <c r="AG12">
        <f t="shared" si="1"/>
        <v>9.9999999999999995E-7</v>
      </c>
      <c r="AH12">
        <f t="shared" si="1"/>
        <v>9.9999999999999995E-7</v>
      </c>
      <c r="AI12">
        <f t="shared" si="1"/>
        <v>9.9999999999999995E-7</v>
      </c>
      <c r="AJ12">
        <f t="shared" si="1"/>
        <v>9.9999999999999995E-7</v>
      </c>
      <c r="AK12">
        <f t="shared" si="1"/>
        <v>9.9999999999999995E-7</v>
      </c>
    </row>
    <row r="13" spans="1:37" x14ac:dyDescent="0.35">
      <c r="A13" s="8"/>
      <c r="B13" t="s">
        <v>16</v>
      </c>
      <c r="C13">
        <f t="shared" si="3"/>
        <v>12</v>
      </c>
      <c r="D13" t="s">
        <v>28</v>
      </c>
      <c r="E13">
        <v>0.99999899999999997</v>
      </c>
      <c r="F13">
        <v>0.99999899999999997</v>
      </c>
      <c r="G13">
        <v>9.9999999999999995E-7</v>
      </c>
      <c r="H13">
        <v>0.68400000000000005</v>
      </c>
      <c r="I13">
        <v>0.66900000000000004</v>
      </c>
      <c r="J13">
        <v>9.9999999999999995E-7</v>
      </c>
      <c r="K13">
        <v>9.9999999999999995E-7</v>
      </c>
      <c r="L13">
        <v>9.9999999999999995E-7</v>
      </c>
      <c r="M13">
        <v>9.9999999999999995E-7</v>
      </c>
      <c r="N13">
        <v>9.9999999999999995E-7</v>
      </c>
      <c r="O13">
        <v>9.9999999999999995E-7</v>
      </c>
      <c r="P13">
        <v>9.9999999999999995E-7</v>
      </c>
      <c r="Q13">
        <v>0.27300000000000002</v>
      </c>
      <c r="R13">
        <v>9.9999999999999995E-7</v>
      </c>
      <c r="S13">
        <v>9.9999999999999995E-7</v>
      </c>
      <c r="T13">
        <v>9.9999999999999995E-7</v>
      </c>
      <c r="V13">
        <f t="shared" si="2"/>
        <v>0.99999899999999997</v>
      </c>
      <c r="W13">
        <f t="shared" si="1"/>
        <v>0.99999899999999997</v>
      </c>
      <c r="X13">
        <f t="shared" si="1"/>
        <v>9.9999999999999995E-7</v>
      </c>
      <c r="Y13">
        <f t="shared" si="1"/>
        <v>0.68400000000000005</v>
      </c>
      <c r="Z13">
        <f t="shared" si="1"/>
        <v>0.66900000000000004</v>
      </c>
      <c r="AA13">
        <f t="shared" si="1"/>
        <v>9.9999999999999995E-7</v>
      </c>
      <c r="AB13">
        <f t="shared" si="1"/>
        <v>9.9999999999999995E-7</v>
      </c>
      <c r="AC13">
        <f t="shared" si="1"/>
        <v>9.9999999999999995E-7</v>
      </c>
      <c r="AD13">
        <f t="shared" si="1"/>
        <v>9.9999999999999995E-7</v>
      </c>
      <c r="AE13">
        <f t="shared" si="1"/>
        <v>9.9999999999999995E-7</v>
      </c>
      <c r="AF13">
        <f t="shared" si="1"/>
        <v>9.9999999999999995E-7</v>
      </c>
      <c r="AG13">
        <f t="shared" si="1"/>
        <v>9.9999999999999995E-7</v>
      </c>
      <c r="AH13">
        <f t="shared" si="1"/>
        <v>0.27300000000000002</v>
      </c>
      <c r="AI13">
        <f t="shared" si="1"/>
        <v>9.9999999999999995E-7</v>
      </c>
      <c r="AJ13">
        <f t="shared" si="1"/>
        <v>9.9999999999999995E-7</v>
      </c>
      <c r="AK13">
        <f t="shared" si="1"/>
        <v>9.9999999999999995E-7</v>
      </c>
    </row>
    <row r="14" spans="1:37" x14ac:dyDescent="0.35">
      <c r="A14" s="8"/>
      <c r="B14" t="s">
        <v>16</v>
      </c>
      <c r="C14">
        <f t="shared" si="3"/>
        <v>13</v>
      </c>
      <c r="D14" t="s">
        <v>29</v>
      </c>
      <c r="E14">
        <v>0.99999899999999997</v>
      </c>
      <c r="F14">
        <v>9.9999999999999995E-7</v>
      </c>
      <c r="G14">
        <v>9.9999999999999995E-7</v>
      </c>
      <c r="H14">
        <v>0.80300000000000005</v>
      </c>
      <c r="I14">
        <v>0.8</v>
      </c>
      <c r="J14">
        <v>9.9999999999999995E-7</v>
      </c>
      <c r="K14">
        <v>9.9999999999999995E-7</v>
      </c>
      <c r="L14">
        <v>0.99999899999999997</v>
      </c>
      <c r="M14">
        <v>0.99999899999999997</v>
      </c>
      <c r="N14">
        <v>9.9999999999999995E-7</v>
      </c>
      <c r="O14">
        <v>9.9999999999999995E-7</v>
      </c>
      <c r="P14">
        <v>0.72699999999999998</v>
      </c>
      <c r="Q14">
        <v>9.9999999999999995E-7</v>
      </c>
      <c r="R14">
        <v>9.9999999999999995E-7</v>
      </c>
      <c r="S14">
        <v>9.9999999999999995E-7</v>
      </c>
      <c r="T14">
        <v>9.9999999999999995E-7</v>
      </c>
      <c r="V14">
        <f t="shared" si="2"/>
        <v>0.99999899999999997</v>
      </c>
      <c r="W14">
        <f t="shared" si="1"/>
        <v>9.9999999999999995E-7</v>
      </c>
      <c r="X14">
        <f t="shared" si="1"/>
        <v>9.9999999999999995E-7</v>
      </c>
      <c r="Y14">
        <f t="shared" si="1"/>
        <v>0.80300000000000005</v>
      </c>
      <c r="Z14">
        <f t="shared" si="1"/>
        <v>0.8</v>
      </c>
      <c r="AA14">
        <f t="shared" si="1"/>
        <v>9.9999999999999995E-7</v>
      </c>
      <c r="AB14">
        <f t="shared" si="1"/>
        <v>9.9999999999999995E-7</v>
      </c>
      <c r="AC14">
        <f t="shared" si="1"/>
        <v>0.99999899999999997</v>
      </c>
      <c r="AD14">
        <f t="shared" si="1"/>
        <v>0.99999899999999997</v>
      </c>
      <c r="AE14">
        <f t="shared" si="1"/>
        <v>9.9999999999999995E-7</v>
      </c>
      <c r="AF14">
        <f t="shared" si="1"/>
        <v>9.9999999999999995E-7</v>
      </c>
      <c r="AG14">
        <f t="shared" si="1"/>
        <v>0.72699999999999998</v>
      </c>
      <c r="AH14">
        <f t="shared" si="1"/>
        <v>9.9999999999999995E-7</v>
      </c>
      <c r="AI14">
        <f t="shared" si="1"/>
        <v>9.9999999999999995E-7</v>
      </c>
      <c r="AJ14">
        <f t="shared" si="1"/>
        <v>9.9999999999999995E-7</v>
      </c>
      <c r="AK14">
        <f t="shared" si="1"/>
        <v>9.9999999999999995E-7</v>
      </c>
    </row>
    <row r="15" spans="1:37" x14ac:dyDescent="0.35">
      <c r="A15" s="8"/>
      <c r="B15" t="s">
        <v>16</v>
      </c>
      <c r="C15">
        <f t="shared" si="3"/>
        <v>14</v>
      </c>
      <c r="D15" t="s">
        <v>30</v>
      </c>
      <c r="E15">
        <v>9.9999999999999995E-7</v>
      </c>
      <c r="F15">
        <v>9.9999999999999995E-7</v>
      </c>
      <c r="G15">
        <v>0.83599999999999997</v>
      </c>
      <c r="H15">
        <v>9.9999999999999995E-7</v>
      </c>
      <c r="I15">
        <v>9.9999999999999995E-7</v>
      </c>
      <c r="J15">
        <v>0.875</v>
      </c>
      <c r="K15">
        <v>0.99999899999999997</v>
      </c>
      <c r="L15">
        <v>9.9999999999999995E-7</v>
      </c>
      <c r="M15">
        <v>9.9999999999999995E-7</v>
      </c>
      <c r="N15">
        <v>0.99999899999999997</v>
      </c>
      <c r="O15">
        <v>0.99999899999999997</v>
      </c>
      <c r="P15">
        <v>9.9999999999999995E-7</v>
      </c>
      <c r="Q15">
        <v>9.9999999999999995E-7</v>
      </c>
      <c r="R15">
        <v>9.9999999999999995E-7</v>
      </c>
      <c r="S15">
        <v>9.9999999999999995E-7</v>
      </c>
      <c r="T15">
        <v>9.9999999999999995E-7</v>
      </c>
      <c r="V15">
        <f t="shared" si="2"/>
        <v>9.9999999999999995E-7</v>
      </c>
      <c r="W15">
        <f t="shared" si="1"/>
        <v>9.9999999999999995E-7</v>
      </c>
      <c r="X15">
        <f t="shared" si="1"/>
        <v>0.83599999999999997</v>
      </c>
      <c r="Y15">
        <f t="shared" si="1"/>
        <v>9.9999999999999995E-7</v>
      </c>
      <c r="Z15">
        <f t="shared" si="1"/>
        <v>9.9999999999999995E-7</v>
      </c>
      <c r="AA15">
        <f t="shared" si="1"/>
        <v>0.875</v>
      </c>
      <c r="AB15">
        <f t="shared" si="1"/>
        <v>0.99999899999999997</v>
      </c>
      <c r="AC15">
        <f t="shared" si="1"/>
        <v>9.9999999999999995E-7</v>
      </c>
      <c r="AD15">
        <f t="shared" si="1"/>
        <v>9.9999999999999995E-7</v>
      </c>
      <c r="AE15">
        <f t="shared" si="1"/>
        <v>0.99999899999999997</v>
      </c>
      <c r="AF15">
        <f t="shared" si="1"/>
        <v>0.99999899999999997</v>
      </c>
      <c r="AG15">
        <f t="shared" si="1"/>
        <v>9.9999999999999995E-7</v>
      </c>
      <c r="AH15">
        <f t="shared" si="1"/>
        <v>9.9999999999999995E-7</v>
      </c>
      <c r="AI15">
        <f t="shared" si="1"/>
        <v>9.9999999999999995E-7</v>
      </c>
      <c r="AJ15">
        <f t="shared" si="1"/>
        <v>9.9999999999999995E-7</v>
      </c>
      <c r="AK15">
        <f t="shared" si="1"/>
        <v>9.9999999999999995E-7</v>
      </c>
    </row>
    <row r="16" spans="1:37" x14ac:dyDescent="0.35">
      <c r="A16" s="8"/>
      <c r="B16" t="s">
        <v>16</v>
      </c>
      <c r="C16">
        <f t="shared" si="3"/>
        <v>15</v>
      </c>
      <c r="D16" t="s">
        <v>31</v>
      </c>
      <c r="E16">
        <v>9.9999999999999995E-7</v>
      </c>
      <c r="F16">
        <v>0.93</v>
      </c>
      <c r="G16">
        <v>0.5</v>
      </c>
      <c r="H16">
        <v>9.9999999999999995E-7</v>
      </c>
      <c r="I16">
        <v>9.9999999999999995E-7</v>
      </c>
      <c r="J16">
        <v>9.9999999999999995E-7</v>
      </c>
      <c r="K16">
        <v>0.66700000000000004</v>
      </c>
      <c r="L16">
        <v>9.9999999999999995E-7</v>
      </c>
      <c r="M16">
        <v>9.9999999999999995E-7</v>
      </c>
      <c r="N16">
        <v>0.83299999999999996</v>
      </c>
      <c r="O16">
        <v>9.9999999999999995E-7</v>
      </c>
      <c r="P16">
        <v>9.9999999999999995E-7</v>
      </c>
      <c r="Q16">
        <v>9.9999999999999995E-7</v>
      </c>
      <c r="R16">
        <v>9.9999999999999995E-7</v>
      </c>
      <c r="S16">
        <v>9.9999999999999995E-7</v>
      </c>
      <c r="T16">
        <v>9.9999999999999995E-7</v>
      </c>
      <c r="V16">
        <f t="shared" si="2"/>
        <v>9.9999999999999995E-7</v>
      </c>
      <c r="W16">
        <f t="shared" si="1"/>
        <v>0.93</v>
      </c>
      <c r="X16">
        <f t="shared" si="1"/>
        <v>0.5</v>
      </c>
      <c r="Y16">
        <f t="shared" si="1"/>
        <v>9.9999999999999995E-7</v>
      </c>
      <c r="Z16">
        <f t="shared" si="1"/>
        <v>9.9999999999999995E-7</v>
      </c>
      <c r="AA16">
        <f t="shared" si="1"/>
        <v>9.9999999999999995E-7</v>
      </c>
      <c r="AB16">
        <f t="shared" si="1"/>
        <v>0.66700000000000004</v>
      </c>
      <c r="AC16">
        <f t="shared" si="1"/>
        <v>9.9999999999999995E-7</v>
      </c>
      <c r="AD16">
        <f t="shared" si="1"/>
        <v>9.9999999999999995E-7</v>
      </c>
      <c r="AE16">
        <f t="shared" si="1"/>
        <v>0.83299999999999996</v>
      </c>
      <c r="AF16">
        <f t="shared" si="1"/>
        <v>9.9999999999999995E-7</v>
      </c>
      <c r="AG16">
        <f t="shared" si="1"/>
        <v>9.9999999999999995E-7</v>
      </c>
      <c r="AH16">
        <f t="shared" si="1"/>
        <v>9.9999999999999995E-7</v>
      </c>
      <c r="AI16">
        <f t="shared" si="1"/>
        <v>9.9999999999999995E-7</v>
      </c>
      <c r="AJ16">
        <f t="shared" si="1"/>
        <v>9.9999999999999995E-7</v>
      </c>
      <c r="AK16">
        <f t="shared" si="1"/>
        <v>9.9999999999999995E-7</v>
      </c>
    </row>
    <row r="17" spans="1:37" x14ac:dyDescent="0.35">
      <c r="A17" s="8"/>
      <c r="B17" t="s">
        <v>16</v>
      </c>
      <c r="C17">
        <f t="shared" si="3"/>
        <v>16</v>
      </c>
      <c r="D17" t="s">
        <v>32</v>
      </c>
      <c r="E17">
        <v>0.99999899999999997</v>
      </c>
      <c r="F17">
        <v>9.9999999999999995E-7</v>
      </c>
      <c r="G17">
        <v>9.9999999999999995E-7</v>
      </c>
      <c r="H17">
        <v>9.9999999999999995E-7</v>
      </c>
      <c r="I17">
        <v>9.9999999999999995E-7</v>
      </c>
      <c r="J17">
        <v>9.9999999999999995E-7</v>
      </c>
      <c r="K17">
        <v>9.9999999999999995E-7</v>
      </c>
      <c r="L17">
        <v>9.9999999999999995E-7</v>
      </c>
      <c r="M17">
        <v>9.9999999999999995E-7</v>
      </c>
      <c r="N17">
        <v>9.9999999999999995E-7</v>
      </c>
      <c r="O17">
        <v>9.9999999999999995E-7</v>
      </c>
      <c r="P17">
        <v>9.9999999999999995E-7</v>
      </c>
      <c r="Q17">
        <v>9.9999999999999995E-7</v>
      </c>
      <c r="R17">
        <v>9.9999999999999995E-7</v>
      </c>
      <c r="S17">
        <v>9.9999999999999995E-7</v>
      </c>
      <c r="T17">
        <v>9.9999999999999995E-7</v>
      </c>
      <c r="V17">
        <f t="shared" si="2"/>
        <v>0.99999899999999997</v>
      </c>
      <c r="W17">
        <f t="shared" si="1"/>
        <v>9.9999999999999995E-7</v>
      </c>
      <c r="X17">
        <f t="shared" si="1"/>
        <v>9.9999999999999995E-7</v>
      </c>
      <c r="Y17">
        <f t="shared" si="1"/>
        <v>9.9999999999999995E-7</v>
      </c>
      <c r="Z17">
        <f t="shared" si="1"/>
        <v>9.9999999999999995E-7</v>
      </c>
      <c r="AA17">
        <f t="shared" si="1"/>
        <v>9.9999999999999995E-7</v>
      </c>
      <c r="AB17">
        <f t="shared" si="1"/>
        <v>9.9999999999999995E-7</v>
      </c>
      <c r="AC17">
        <f t="shared" si="1"/>
        <v>9.9999999999999995E-7</v>
      </c>
      <c r="AD17">
        <f t="shared" si="1"/>
        <v>9.9999999999999995E-7</v>
      </c>
      <c r="AE17">
        <f t="shared" si="1"/>
        <v>9.9999999999999995E-7</v>
      </c>
      <c r="AF17">
        <f t="shared" si="1"/>
        <v>9.9999999999999995E-7</v>
      </c>
      <c r="AG17">
        <f t="shared" si="1"/>
        <v>9.9999999999999995E-7</v>
      </c>
      <c r="AH17">
        <f t="shared" si="1"/>
        <v>9.9999999999999995E-7</v>
      </c>
      <c r="AI17">
        <f t="shared" si="1"/>
        <v>9.9999999999999995E-7</v>
      </c>
      <c r="AJ17">
        <f t="shared" si="1"/>
        <v>9.9999999999999995E-7</v>
      </c>
      <c r="AK17">
        <f t="shared" si="1"/>
        <v>9.9999999999999995E-7</v>
      </c>
    </row>
    <row r="18" spans="1:37" x14ac:dyDescent="0.35">
      <c r="A18" t="s">
        <v>33</v>
      </c>
      <c r="B18" t="s">
        <v>34</v>
      </c>
      <c r="C18" s="9">
        <v>0.78500000000000003</v>
      </c>
    </row>
    <row r="19" spans="1:37" x14ac:dyDescent="0.35">
      <c r="A19" s="10"/>
    </row>
    <row r="20" spans="1:37" x14ac:dyDescent="0.35">
      <c r="A20" s="11"/>
    </row>
    <row r="21" spans="1:37" x14ac:dyDescent="0.35">
      <c r="A21" s="11"/>
    </row>
    <row r="22" spans="1:37" x14ac:dyDescent="0.35">
      <c r="A22" s="11"/>
    </row>
    <row r="23" spans="1:37" x14ac:dyDescent="0.35">
      <c r="A23" s="7"/>
      <c r="B23" t="s">
        <v>12</v>
      </c>
      <c r="C23" t="s">
        <v>13</v>
      </c>
      <c r="D23" t="s">
        <v>14</v>
      </c>
      <c r="E23" t="s">
        <v>15</v>
      </c>
      <c r="F23" t="s">
        <v>35</v>
      </c>
      <c r="G23" t="s">
        <v>33</v>
      </c>
      <c r="H23" t="s">
        <v>36</v>
      </c>
      <c r="I23" s="9">
        <v>0.7</v>
      </c>
      <c r="L23" t="s">
        <v>37</v>
      </c>
    </row>
    <row r="24" spans="1:37" x14ac:dyDescent="0.35">
      <c r="A24" s="8"/>
      <c r="B24" t="s">
        <v>16</v>
      </c>
      <c r="C24" t="s">
        <v>38</v>
      </c>
      <c r="D24" t="s">
        <v>39</v>
      </c>
      <c r="E24" s="9">
        <v>0.46500000000000002</v>
      </c>
      <c r="L24">
        <v>1</v>
      </c>
      <c r="M24">
        <v>0.78500000000000003</v>
      </c>
    </row>
    <row r="25" spans="1:37" x14ac:dyDescent="0.35">
      <c r="A25" s="8"/>
      <c r="B25" t="s">
        <v>16</v>
      </c>
      <c r="C25" t="s">
        <v>35</v>
      </c>
      <c r="D25" t="s">
        <v>40</v>
      </c>
      <c r="E25" s="9">
        <v>0.5</v>
      </c>
      <c r="L25">
        <v>2</v>
      </c>
      <c r="M25">
        <v>0.7</v>
      </c>
    </row>
    <row r="26" spans="1:37" x14ac:dyDescent="0.35">
      <c r="A26" s="8"/>
      <c r="B26" t="s">
        <v>16</v>
      </c>
      <c r="C26" t="s">
        <v>41</v>
      </c>
      <c r="D26" t="s">
        <v>42</v>
      </c>
      <c r="E26" s="9">
        <v>0.61699999999999999</v>
      </c>
      <c r="L26">
        <v>3</v>
      </c>
      <c r="M26">
        <v>0.63300000000000001</v>
      </c>
    </row>
    <row r="27" spans="1:37" x14ac:dyDescent="0.35">
      <c r="A27" s="8"/>
      <c r="B27" t="s">
        <v>16</v>
      </c>
      <c r="C27" t="s">
        <v>43</v>
      </c>
      <c r="D27" t="s">
        <v>44</v>
      </c>
      <c r="E27" s="9">
        <v>0.44400000000000001</v>
      </c>
      <c r="L27">
        <v>4</v>
      </c>
      <c r="M27">
        <v>0.59299999999999997</v>
      </c>
    </row>
    <row r="28" spans="1:37" x14ac:dyDescent="0.35">
      <c r="A28" s="8"/>
      <c r="B28" t="s">
        <v>16</v>
      </c>
      <c r="C28" t="s">
        <v>45</v>
      </c>
      <c r="D28" t="s">
        <v>46</v>
      </c>
      <c r="E28" s="9">
        <v>0.2</v>
      </c>
      <c r="L28">
        <v>5</v>
      </c>
      <c r="M28">
        <v>0.52800000000000002</v>
      </c>
    </row>
    <row r="29" spans="1:37" x14ac:dyDescent="0.35">
      <c r="A29" s="8"/>
      <c r="B29" t="s">
        <v>16</v>
      </c>
      <c r="C29" t="s">
        <v>47</v>
      </c>
      <c r="D29" t="s">
        <v>48</v>
      </c>
      <c r="E29" s="9">
        <v>0.72199999999999998</v>
      </c>
      <c r="L29">
        <v>6</v>
      </c>
      <c r="M29">
        <v>0.54400000000000004</v>
      </c>
    </row>
    <row r="30" spans="1:37" x14ac:dyDescent="0.35">
      <c r="A30" s="8"/>
      <c r="B30" t="s">
        <v>16</v>
      </c>
      <c r="C30" t="s">
        <v>49</v>
      </c>
      <c r="D30" t="s">
        <v>50</v>
      </c>
      <c r="E30" s="9">
        <v>0.72199999999999998</v>
      </c>
      <c r="L30">
        <v>7</v>
      </c>
      <c r="M30">
        <v>0.47</v>
      </c>
    </row>
    <row r="31" spans="1:37" x14ac:dyDescent="0.35">
      <c r="A31" s="8"/>
      <c r="B31" t="s">
        <v>16</v>
      </c>
      <c r="C31" t="s">
        <v>51</v>
      </c>
      <c r="D31" t="s">
        <v>44</v>
      </c>
      <c r="E31" s="9">
        <v>0.44400000000000001</v>
      </c>
      <c r="L31">
        <v>8</v>
      </c>
      <c r="M31">
        <v>0.437</v>
      </c>
    </row>
    <row r="32" spans="1:37" x14ac:dyDescent="0.35">
      <c r="A32" s="8"/>
      <c r="B32" t="s">
        <v>16</v>
      </c>
      <c r="C32" t="s">
        <v>52</v>
      </c>
      <c r="D32" t="s">
        <v>53</v>
      </c>
      <c r="E32" s="9">
        <v>0.5</v>
      </c>
      <c r="L32">
        <v>9</v>
      </c>
      <c r="M32">
        <v>0.35899999999999999</v>
      </c>
    </row>
    <row r="33" spans="1:13" x14ac:dyDescent="0.35">
      <c r="A33" s="8"/>
      <c r="B33" t="s">
        <v>16</v>
      </c>
      <c r="C33" t="s">
        <v>54</v>
      </c>
      <c r="D33" t="s">
        <v>55</v>
      </c>
      <c r="E33" s="9">
        <v>0.59299999999999997</v>
      </c>
      <c r="L33">
        <v>10</v>
      </c>
      <c r="M33">
        <v>0.39200000000000002</v>
      </c>
    </row>
    <row r="34" spans="1:13" x14ac:dyDescent="0.35">
      <c r="A34" s="8"/>
      <c r="B34" t="s">
        <v>16</v>
      </c>
      <c r="C34" t="s">
        <v>56</v>
      </c>
      <c r="D34" t="s">
        <v>57</v>
      </c>
      <c r="E34" s="9">
        <v>0.92900000000000005</v>
      </c>
      <c r="L34">
        <v>11</v>
      </c>
      <c r="M34">
        <v>0.35099999999999998</v>
      </c>
    </row>
    <row r="35" spans="1:13" x14ac:dyDescent="0.35">
      <c r="A35" s="8"/>
      <c r="B35" t="s">
        <v>16</v>
      </c>
      <c r="C35" t="s">
        <v>58</v>
      </c>
      <c r="D35" t="s">
        <v>59</v>
      </c>
      <c r="E35" s="9">
        <v>1</v>
      </c>
      <c r="L35">
        <v>12</v>
      </c>
      <c r="M35">
        <v>0.32100000000000001</v>
      </c>
    </row>
    <row r="36" spans="1:13" x14ac:dyDescent="0.35">
      <c r="A36" s="8"/>
      <c r="B36" t="s">
        <v>16</v>
      </c>
      <c r="C36" t="s">
        <v>60</v>
      </c>
      <c r="D36" t="s">
        <v>30</v>
      </c>
      <c r="E36" s="9">
        <v>0</v>
      </c>
      <c r="L36">
        <v>13</v>
      </c>
      <c r="M36">
        <v>0.19500000000000001</v>
      </c>
    </row>
    <row r="37" spans="1:13" x14ac:dyDescent="0.35">
      <c r="A37" s="8"/>
      <c r="B37" t="s">
        <v>16</v>
      </c>
      <c r="C37" t="s">
        <v>61</v>
      </c>
      <c r="D37" t="s">
        <v>30</v>
      </c>
      <c r="E37" s="9">
        <v>0</v>
      </c>
      <c r="L37">
        <v>14</v>
      </c>
      <c r="M37">
        <v>0.152</v>
      </c>
    </row>
    <row r="38" spans="1:13" x14ac:dyDescent="0.35">
      <c r="A38" s="8"/>
      <c r="B38" t="s">
        <v>16</v>
      </c>
      <c r="C38" t="s">
        <v>62</v>
      </c>
      <c r="D38" t="s">
        <v>63</v>
      </c>
      <c r="E38" s="9">
        <v>0.93</v>
      </c>
      <c r="L38">
        <v>15</v>
      </c>
      <c r="M38">
        <v>9.5000000000000001E-2</v>
      </c>
    </row>
    <row r="39" spans="1:13" x14ac:dyDescent="0.35">
      <c r="A39" s="8"/>
      <c r="B39" t="s">
        <v>16</v>
      </c>
      <c r="C39" t="s">
        <v>64</v>
      </c>
      <c r="D39" t="s">
        <v>30</v>
      </c>
      <c r="E39" s="9">
        <v>0</v>
      </c>
      <c r="L39">
        <v>16</v>
      </c>
      <c r="M39">
        <v>9.9999999999999995E-7</v>
      </c>
    </row>
    <row r="40" spans="1:13" x14ac:dyDescent="0.35">
      <c r="A40" s="11"/>
    </row>
    <row r="41" spans="1:13" x14ac:dyDescent="0.35">
      <c r="A41" s="10"/>
    </row>
    <row r="42" spans="1:13" x14ac:dyDescent="0.35">
      <c r="A42" s="11"/>
    </row>
    <row r="43" spans="1:13" x14ac:dyDescent="0.35">
      <c r="A43" s="11"/>
    </row>
    <row r="44" spans="1:13" x14ac:dyDescent="0.35">
      <c r="A44" s="11"/>
    </row>
    <row r="45" spans="1:13" x14ac:dyDescent="0.35">
      <c r="A45" s="7"/>
      <c r="B45" t="s">
        <v>12</v>
      </c>
      <c r="C45" t="s">
        <v>13</v>
      </c>
      <c r="D45" t="s">
        <v>14</v>
      </c>
      <c r="E45" t="s">
        <v>15</v>
      </c>
      <c r="F45" t="s">
        <v>41</v>
      </c>
      <c r="G45" t="s">
        <v>33</v>
      </c>
      <c r="H45" t="s">
        <v>65</v>
      </c>
      <c r="I45" s="9">
        <v>0.63300000000000001</v>
      </c>
    </row>
    <row r="46" spans="1:13" x14ac:dyDescent="0.35">
      <c r="A46" s="8"/>
      <c r="B46" t="s">
        <v>16</v>
      </c>
      <c r="C46" t="s">
        <v>38</v>
      </c>
      <c r="D46" t="s">
        <v>66</v>
      </c>
      <c r="E46" s="9">
        <v>0.39400000000000002</v>
      </c>
    </row>
    <row r="47" spans="1:13" x14ac:dyDescent="0.35">
      <c r="A47" s="8"/>
      <c r="B47" t="s">
        <v>16</v>
      </c>
      <c r="C47" t="s">
        <v>35</v>
      </c>
      <c r="D47" t="s">
        <v>67</v>
      </c>
      <c r="E47" s="9">
        <v>0.38300000000000001</v>
      </c>
    </row>
    <row r="48" spans="1:13" x14ac:dyDescent="0.35">
      <c r="A48" s="8"/>
      <c r="B48" t="s">
        <v>16</v>
      </c>
      <c r="C48" t="s">
        <v>41</v>
      </c>
      <c r="D48" t="s">
        <v>53</v>
      </c>
      <c r="E48" s="9">
        <v>0.5</v>
      </c>
    </row>
    <row r="49" spans="1:5" x14ac:dyDescent="0.35">
      <c r="A49" s="8"/>
      <c r="B49" t="s">
        <v>16</v>
      </c>
      <c r="C49" t="s">
        <v>43</v>
      </c>
      <c r="D49" t="s">
        <v>68</v>
      </c>
      <c r="E49" s="9">
        <v>0.625</v>
      </c>
    </row>
    <row r="50" spans="1:5" x14ac:dyDescent="0.35">
      <c r="A50" s="8"/>
      <c r="B50" t="s">
        <v>16</v>
      </c>
      <c r="C50" t="s">
        <v>45</v>
      </c>
      <c r="D50" t="s">
        <v>40</v>
      </c>
      <c r="E50" s="9">
        <v>0.5</v>
      </c>
    </row>
    <row r="51" spans="1:5" x14ac:dyDescent="0.35">
      <c r="A51" s="8"/>
      <c r="B51" t="s">
        <v>16</v>
      </c>
      <c r="C51" t="s">
        <v>47</v>
      </c>
      <c r="D51" t="s">
        <v>69</v>
      </c>
      <c r="E51" s="9">
        <v>0.54800000000000004</v>
      </c>
    </row>
    <row r="52" spans="1:5" x14ac:dyDescent="0.35">
      <c r="A52" s="8"/>
      <c r="B52" t="s">
        <v>16</v>
      </c>
      <c r="C52" t="s">
        <v>49</v>
      </c>
      <c r="D52" t="s">
        <v>70</v>
      </c>
      <c r="E52" s="9">
        <v>0.6</v>
      </c>
    </row>
    <row r="53" spans="1:5" x14ac:dyDescent="0.35">
      <c r="A53" s="8"/>
      <c r="B53" t="s">
        <v>16</v>
      </c>
      <c r="C53" t="s">
        <v>51</v>
      </c>
      <c r="D53" t="s">
        <v>71</v>
      </c>
      <c r="E53" s="9">
        <v>1</v>
      </c>
    </row>
    <row r="54" spans="1:5" x14ac:dyDescent="0.35">
      <c r="A54" s="8"/>
      <c r="B54" t="s">
        <v>16</v>
      </c>
      <c r="C54" t="s">
        <v>52</v>
      </c>
      <c r="D54" t="s">
        <v>71</v>
      </c>
      <c r="E54" s="9">
        <v>1</v>
      </c>
    </row>
    <row r="55" spans="1:5" x14ac:dyDescent="0.35">
      <c r="A55" s="8"/>
      <c r="B55" t="s">
        <v>16</v>
      </c>
      <c r="C55" t="s">
        <v>54</v>
      </c>
      <c r="D55" t="s">
        <v>72</v>
      </c>
      <c r="E55" s="9">
        <v>0.69199999999999995</v>
      </c>
    </row>
    <row r="56" spans="1:5" x14ac:dyDescent="0.35">
      <c r="A56" s="8"/>
      <c r="B56" t="s">
        <v>16</v>
      </c>
      <c r="C56" t="s">
        <v>56</v>
      </c>
      <c r="D56" t="s">
        <v>73</v>
      </c>
      <c r="E56" s="9">
        <v>0.70799999999999996</v>
      </c>
    </row>
    <row r="57" spans="1:5" x14ac:dyDescent="0.35">
      <c r="A57" s="8"/>
      <c r="B57" t="s">
        <v>16</v>
      </c>
      <c r="C57" t="s">
        <v>58</v>
      </c>
      <c r="D57" t="s">
        <v>30</v>
      </c>
      <c r="E57" s="9">
        <v>0</v>
      </c>
    </row>
    <row r="58" spans="1:5" x14ac:dyDescent="0.35">
      <c r="A58" s="8"/>
      <c r="B58" t="s">
        <v>16</v>
      </c>
      <c r="C58" t="s">
        <v>60</v>
      </c>
      <c r="D58" t="s">
        <v>30</v>
      </c>
      <c r="E58" s="9">
        <v>0</v>
      </c>
    </row>
    <row r="59" spans="1:5" x14ac:dyDescent="0.35">
      <c r="A59" s="8"/>
      <c r="B59" t="s">
        <v>16</v>
      </c>
      <c r="C59" t="s">
        <v>61</v>
      </c>
      <c r="D59" t="s">
        <v>74</v>
      </c>
      <c r="E59" s="9">
        <v>0.83599999999999997</v>
      </c>
    </row>
    <row r="60" spans="1:5" x14ac:dyDescent="0.35">
      <c r="A60" s="8"/>
      <c r="B60" t="s">
        <v>16</v>
      </c>
      <c r="C60" t="s">
        <v>62</v>
      </c>
      <c r="D60" t="s">
        <v>53</v>
      </c>
      <c r="E60" s="9">
        <v>0.5</v>
      </c>
    </row>
    <row r="61" spans="1:5" x14ac:dyDescent="0.35">
      <c r="A61" s="8"/>
      <c r="B61" t="s">
        <v>16</v>
      </c>
      <c r="C61" t="s">
        <v>64</v>
      </c>
      <c r="D61" t="s">
        <v>30</v>
      </c>
      <c r="E61" s="9">
        <v>0</v>
      </c>
    </row>
    <row r="62" spans="1:5" x14ac:dyDescent="0.35">
      <c r="A62" s="11"/>
    </row>
    <row r="63" spans="1:5" x14ac:dyDescent="0.35">
      <c r="A63" s="10"/>
    </row>
    <row r="64" spans="1:5" x14ac:dyDescent="0.35">
      <c r="A64" s="11"/>
    </row>
    <row r="65" spans="1:9" x14ac:dyDescent="0.35">
      <c r="A65" s="11"/>
    </row>
    <row r="66" spans="1:9" x14ac:dyDescent="0.35">
      <c r="A66" s="11"/>
    </row>
    <row r="67" spans="1:9" x14ac:dyDescent="0.35">
      <c r="A67" s="7"/>
      <c r="B67" t="s">
        <v>12</v>
      </c>
      <c r="C67" t="s">
        <v>13</v>
      </c>
      <c r="D67" t="s">
        <v>14</v>
      </c>
      <c r="E67" t="s">
        <v>15</v>
      </c>
      <c r="F67" t="s">
        <v>43</v>
      </c>
      <c r="G67" t="s">
        <v>33</v>
      </c>
      <c r="H67" t="s">
        <v>75</v>
      </c>
      <c r="I67" s="9">
        <v>0.59299999999999997</v>
      </c>
    </row>
    <row r="68" spans="1:9" x14ac:dyDescent="0.35">
      <c r="A68" s="8"/>
      <c r="B68" t="s">
        <v>16</v>
      </c>
      <c r="C68" t="s">
        <v>38</v>
      </c>
      <c r="D68" t="s">
        <v>76</v>
      </c>
      <c r="E68" s="9">
        <v>0.314</v>
      </c>
    </row>
    <row r="69" spans="1:9" x14ac:dyDescent="0.35">
      <c r="A69" s="8"/>
      <c r="B69" t="s">
        <v>16</v>
      </c>
      <c r="C69" t="s">
        <v>35</v>
      </c>
      <c r="D69" t="s">
        <v>77</v>
      </c>
      <c r="E69" s="9">
        <v>0.55600000000000005</v>
      </c>
    </row>
    <row r="70" spans="1:9" x14ac:dyDescent="0.35">
      <c r="A70" s="8"/>
      <c r="B70" t="s">
        <v>16</v>
      </c>
      <c r="C70" t="s">
        <v>41</v>
      </c>
      <c r="D70" t="s">
        <v>78</v>
      </c>
      <c r="E70" s="9">
        <v>0.375</v>
      </c>
    </row>
    <row r="71" spans="1:9" x14ac:dyDescent="0.35">
      <c r="A71" s="8"/>
      <c r="B71" t="s">
        <v>16</v>
      </c>
      <c r="C71" t="s">
        <v>43</v>
      </c>
      <c r="D71" t="s">
        <v>53</v>
      </c>
      <c r="E71" s="9">
        <v>0.5</v>
      </c>
    </row>
    <row r="72" spans="1:9" x14ac:dyDescent="0.35">
      <c r="A72" s="8"/>
      <c r="B72" t="s">
        <v>16</v>
      </c>
      <c r="C72" t="s">
        <v>45</v>
      </c>
      <c r="D72" t="s">
        <v>79</v>
      </c>
      <c r="E72" s="9">
        <v>0.55100000000000005</v>
      </c>
    </row>
    <row r="73" spans="1:9" x14ac:dyDescent="0.35">
      <c r="A73" s="8"/>
      <c r="B73" t="s">
        <v>16</v>
      </c>
      <c r="C73" t="s">
        <v>47</v>
      </c>
      <c r="D73" t="s">
        <v>80</v>
      </c>
      <c r="E73" s="9">
        <v>0.33300000000000002</v>
      </c>
    </row>
    <row r="74" spans="1:9" x14ac:dyDescent="0.35">
      <c r="A74" s="8"/>
      <c r="B74" t="s">
        <v>16</v>
      </c>
      <c r="C74" t="s">
        <v>49</v>
      </c>
      <c r="D74" t="s">
        <v>81</v>
      </c>
      <c r="E74" s="9">
        <v>0.4</v>
      </c>
    </row>
    <row r="75" spans="1:9" x14ac:dyDescent="0.35">
      <c r="A75" s="8"/>
      <c r="B75" t="s">
        <v>16</v>
      </c>
      <c r="C75" t="s">
        <v>51</v>
      </c>
      <c r="D75" t="s">
        <v>82</v>
      </c>
      <c r="E75" s="9">
        <v>0.3</v>
      </c>
    </row>
    <row r="76" spans="1:9" x14ac:dyDescent="0.35">
      <c r="A76" s="8"/>
      <c r="B76" t="s">
        <v>16</v>
      </c>
      <c r="C76" t="s">
        <v>52</v>
      </c>
      <c r="D76" t="s">
        <v>83</v>
      </c>
      <c r="E76" s="9">
        <v>0.66700000000000004</v>
      </c>
    </row>
    <row r="77" spans="1:9" x14ac:dyDescent="0.35">
      <c r="A77" s="8"/>
      <c r="B77" t="s">
        <v>16</v>
      </c>
      <c r="C77" t="s">
        <v>54</v>
      </c>
      <c r="D77" t="s">
        <v>71</v>
      </c>
      <c r="E77" s="9">
        <v>1</v>
      </c>
    </row>
    <row r="78" spans="1:9" x14ac:dyDescent="0.35">
      <c r="A78" s="8"/>
      <c r="B78" t="s">
        <v>16</v>
      </c>
      <c r="C78" t="s">
        <v>56</v>
      </c>
      <c r="D78" t="s">
        <v>30</v>
      </c>
      <c r="E78" s="9">
        <v>0</v>
      </c>
    </row>
    <row r="79" spans="1:9" x14ac:dyDescent="0.35">
      <c r="A79" s="8"/>
      <c r="B79" t="s">
        <v>16</v>
      </c>
      <c r="C79" t="s">
        <v>58</v>
      </c>
      <c r="D79" t="s">
        <v>84</v>
      </c>
      <c r="E79" s="9">
        <v>0.68400000000000005</v>
      </c>
    </row>
    <row r="80" spans="1:9" x14ac:dyDescent="0.35">
      <c r="A80" s="8"/>
      <c r="B80" t="s">
        <v>16</v>
      </c>
      <c r="C80" t="s">
        <v>60</v>
      </c>
      <c r="D80" t="s">
        <v>85</v>
      </c>
      <c r="E80" s="9">
        <v>0.80300000000000005</v>
      </c>
    </row>
    <row r="81" spans="1:9" x14ac:dyDescent="0.35">
      <c r="A81" s="8"/>
      <c r="B81" t="s">
        <v>16</v>
      </c>
      <c r="C81" t="s">
        <v>61</v>
      </c>
      <c r="D81" t="s">
        <v>30</v>
      </c>
      <c r="E81" s="9">
        <v>0</v>
      </c>
    </row>
    <row r="82" spans="1:9" x14ac:dyDescent="0.35">
      <c r="A82" s="8"/>
      <c r="B82" t="s">
        <v>16</v>
      </c>
      <c r="C82" t="s">
        <v>62</v>
      </c>
      <c r="D82" t="s">
        <v>30</v>
      </c>
      <c r="E82" s="9">
        <v>0</v>
      </c>
    </row>
    <row r="83" spans="1:9" x14ac:dyDescent="0.35">
      <c r="A83" s="8"/>
      <c r="B83" t="s">
        <v>16</v>
      </c>
      <c r="C83" t="s">
        <v>64</v>
      </c>
      <c r="D83" t="s">
        <v>30</v>
      </c>
      <c r="E83" s="9">
        <v>0</v>
      </c>
    </row>
    <row r="84" spans="1:9" x14ac:dyDescent="0.35">
      <c r="A84" s="11"/>
    </row>
    <row r="85" spans="1:9" x14ac:dyDescent="0.35">
      <c r="A85" s="10"/>
    </row>
    <row r="86" spans="1:9" x14ac:dyDescent="0.35">
      <c r="A86" s="11"/>
    </row>
    <row r="87" spans="1:9" x14ac:dyDescent="0.35">
      <c r="A87" s="11"/>
    </row>
    <row r="88" spans="1:9" x14ac:dyDescent="0.35">
      <c r="A88" s="11"/>
    </row>
    <row r="89" spans="1:9" x14ac:dyDescent="0.35">
      <c r="A89" s="7"/>
      <c r="B89" t="s">
        <v>12</v>
      </c>
      <c r="C89" t="s">
        <v>13</v>
      </c>
      <c r="D89" t="s">
        <v>14</v>
      </c>
      <c r="E89" t="s">
        <v>15</v>
      </c>
      <c r="F89" t="s">
        <v>45</v>
      </c>
      <c r="G89" t="s">
        <v>33</v>
      </c>
      <c r="H89" t="s">
        <v>86</v>
      </c>
      <c r="I89" s="9">
        <v>0.52800000000000002</v>
      </c>
    </row>
    <row r="90" spans="1:9" x14ac:dyDescent="0.35">
      <c r="A90" s="8"/>
      <c r="B90" t="s">
        <v>16</v>
      </c>
      <c r="C90" t="s">
        <v>38</v>
      </c>
      <c r="D90" t="s">
        <v>87</v>
      </c>
      <c r="E90" s="9">
        <v>0.16</v>
      </c>
    </row>
    <row r="91" spans="1:9" x14ac:dyDescent="0.35">
      <c r="A91" s="8"/>
      <c r="B91" t="s">
        <v>16</v>
      </c>
      <c r="C91" t="s">
        <v>35</v>
      </c>
      <c r="D91" t="s">
        <v>88</v>
      </c>
      <c r="E91" s="9">
        <v>0.8</v>
      </c>
    </row>
    <row r="92" spans="1:9" x14ac:dyDescent="0.35">
      <c r="A92" s="8"/>
      <c r="B92" t="s">
        <v>16</v>
      </c>
      <c r="C92" t="s">
        <v>41</v>
      </c>
      <c r="D92" t="s">
        <v>40</v>
      </c>
      <c r="E92" s="9">
        <v>0.5</v>
      </c>
    </row>
    <row r="93" spans="1:9" x14ac:dyDescent="0.35">
      <c r="A93" s="8"/>
      <c r="B93" t="s">
        <v>16</v>
      </c>
      <c r="C93" t="s">
        <v>43</v>
      </c>
      <c r="D93" t="s">
        <v>89</v>
      </c>
      <c r="E93" s="9">
        <v>0.44900000000000001</v>
      </c>
    </row>
    <row r="94" spans="1:9" x14ac:dyDescent="0.35">
      <c r="A94" s="8"/>
      <c r="B94" t="s">
        <v>16</v>
      </c>
      <c r="C94" t="s">
        <v>45</v>
      </c>
      <c r="D94" t="s">
        <v>53</v>
      </c>
      <c r="E94" s="9">
        <v>0.5</v>
      </c>
    </row>
    <row r="95" spans="1:9" x14ac:dyDescent="0.35">
      <c r="A95" s="8"/>
      <c r="B95" t="s">
        <v>16</v>
      </c>
      <c r="C95" t="s">
        <v>47</v>
      </c>
      <c r="D95" t="s">
        <v>59</v>
      </c>
      <c r="E95" s="9">
        <v>1</v>
      </c>
    </row>
    <row r="96" spans="1:9" x14ac:dyDescent="0.35">
      <c r="A96" s="8"/>
      <c r="B96" t="s">
        <v>16</v>
      </c>
      <c r="C96" t="s">
        <v>49</v>
      </c>
      <c r="D96" t="s">
        <v>30</v>
      </c>
      <c r="E96" s="9">
        <v>0</v>
      </c>
    </row>
    <row r="97" spans="1:9" x14ac:dyDescent="0.35">
      <c r="A97" s="8"/>
      <c r="B97" t="s">
        <v>16</v>
      </c>
      <c r="C97" t="s">
        <v>51</v>
      </c>
      <c r="D97" t="s">
        <v>90</v>
      </c>
      <c r="E97" s="9">
        <v>0.25</v>
      </c>
    </row>
    <row r="98" spans="1:9" x14ac:dyDescent="0.35">
      <c r="A98" s="8"/>
      <c r="B98" t="s">
        <v>16</v>
      </c>
      <c r="C98" t="s">
        <v>52</v>
      </c>
      <c r="D98" t="s">
        <v>91</v>
      </c>
      <c r="E98" s="9">
        <v>0.33300000000000002</v>
      </c>
    </row>
    <row r="99" spans="1:9" x14ac:dyDescent="0.35">
      <c r="A99" s="8"/>
      <c r="B99" t="s">
        <v>16</v>
      </c>
      <c r="C99" t="s">
        <v>54</v>
      </c>
      <c r="D99" t="s">
        <v>59</v>
      </c>
      <c r="E99" s="9">
        <v>1</v>
      </c>
    </row>
    <row r="100" spans="1:9" x14ac:dyDescent="0.35">
      <c r="A100" s="8"/>
      <c r="B100" t="s">
        <v>16</v>
      </c>
      <c r="C100" t="s">
        <v>56</v>
      </c>
      <c r="D100" t="s">
        <v>30</v>
      </c>
      <c r="E100" s="9">
        <v>0</v>
      </c>
    </row>
    <row r="101" spans="1:9" x14ac:dyDescent="0.35">
      <c r="A101" s="8"/>
      <c r="B101" t="s">
        <v>16</v>
      </c>
      <c r="C101" t="s">
        <v>58</v>
      </c>
      <c r="D101" t="s">
        <v>92</v>
      </c>
      <c r="E101" s="9">
        <v>0.66900000000000004</v>
      </c>
    </row>
    <row r="102" spans="1:9" x14ac:dyDescent="0.35">
      <c r="A102" s="8"/>
      <c r="B102" t="s">
        <v>16</v>
      </c>
      <c r="C102" t="s">
        <v>60</v>
      </c>
      <c r="D102" t="s">
        <v>93</v>
      </c>
      <c r="E102" s="9">
        <v>0.8</v>
      </c>
    </row>
    <row r="103" spans="1:9" x14ac:dyDescent="0.35">
      <c r="A103" s="8"/>
      <c r="B103" t="s">
        <v>16</v>
      </c>
      <c r="C103" t="s">
        <v>61</v>
      </c>
      <c r="D103" t="s">
        <v>30</v>
      </c>
      <c r="E103" s="9">
        <v>0</v>
      </c>
    </row>
    <row r="104" spans="1:9" x14ac:dyDescent="0.35">
      <c r="A104" s="8"/>
      <c r="B104" t="s">
        <v>16</v>
      </c>
      <c r="C104" t="s">
        <v>62</v>
      </c>
      <c r="D104" t="s">
        <v>30</v>
      </c>
      <c r="E104" s="9">
        <v>0</v>
      </c>
    </row>
    <row r="105" spans="1:9" x14ac:dyDescent="0.35">
      <c r="A105" s="8"/>
      <c r="B105" t="s">
        <v>16</v>
      </c>
      <c r="C105" t="s">
        <v>64</v>
      </c>
      <c r="D105" t="s">
        <v>30</v>
      </c>
      <c r="E105" s="9">
        <v>0</v>
      </c>
    </row>
    <row r="106" spans="1:9" x14ac:dyDescent="0.35">
      <c r="A106" s="11"/>
    </row>
    <row r="107" spans="1:9" x14ac:dyDescent="0.35">
      <c r="A107" s="10"/>
    </row>
    <row r="108" spans="1:9" x14ac:dyDescent="0.35">
      <c r="A108" s="11"/>
    </row>
    <row r="109" spans="1:9" x14ac:dyDescent="0.35">
      <c r="A109" s="11"/>
    </row>
    <row r="110" spans="1:9" x14ac:dyDescent="0.35">
      <c r="A110" s="11"/>
    </row>
    <row r="111" spans="1:9" x14ac:dyDescent="0.35">
      <c r="A111" s="7"/>
      <c r="B111" t="s">
        <v>12</v>
      </c>
      <c r="C111" t="s">
        <v>13</v>
      </c>
      <c r="D111" t="s">
        <v>14</v>
      </c>
      <c r="E111" t="s">
        <v>15</v>
      </c>
      <c r="F111" t="s">
        <v>47</v>
      </c>
      <c r="G111" t="s">
        <v>33</v>
      </c>
      <c r="H111" t="s">
        <v>94</v>
      </c>
      <c r="I111" s="9">
        <v>0.54400000000000004</v>
      </c>
    </row>
    <row r="112" spans="1:9" x14ac:dyDescent="0.35">
      <c r="A112" s="8"/>
      <c r="B112" t="s">
        <v>16</v>
      </c>
      <c r="C112" t="s">
        <v>38</v>
      </c>
      <c r="D112" t="s">
        <v>95</v>
      </c>
      <c r="E112" s="9">
        <v>0.313</v>
      </c>
    </row>
    <row r="113" spans="1:5" x14ac:dyDescent="0.35">
      <c r="A113" s="8"/>
      <c r="B113" t="s">
        <v>16</v>
      </c>
      <c r="C113" t="s">
        <v>35</v>
      </c>
      <c r="D113" t="s">
        <v>96</v>
      </c>
      <c r="E113" s="9">
        <v>0.27800000000000002</v>
      </c>
    </row>
    <row r="114" spans="1:5" x14ac:dyDescent="0.35">
      <c r="A114" s="8"/>
      <c r="B114" t="s">
        <v>16</v>
      </c>
      <c r="C114" t="s">
        <v>41</v>
      </c>
      <c r="D114" t="s">
        <v>97</v>
      </c>
      <c r="E114" s="9">
        <v>0.45200000000000001</v>
      </c>
    </row>
    <row r="115" spans="1:5" x14ac:dyDescent="0.35">
      <c r="A115" s="8"/>
      <c r="B115" t="s">
        <v>16</v>
      </c>
      <c r="C115" t="s">
        <v>43</v>
      </c>
      <c r="D115" t="s">
        <v>98</v>
      </c>
      <c r="E115" s="9">
        <v>0.66700000000000004</v>
      </c>
    </row>
    <row r="116" spans="1:5" x14ac:dyDescent="0.35">
      <c r="A116" s="8"/>
      <c r="B116" t="s">
        <v>16</v>
      </c>
      <c r="C116" t="s">
        <v>45</v>
      </c>
      <c r="D116" t="s">
        <v>31</v>
      </c>
      <c r="E116" s="9">
        <v>0</v>
      </c>
    </row>
    <row r="117" spans="1:5" x14ac:dyDescent="0.35">
      <c r="A117" s="8"/>
      <c r="B117" t="s">
        <v>16</v>
      </c>
      <c r="C117" t="s">
        <v>47</v>
      </c>
      <c r="D117" t="s">
        <v>30</v>
      </c>
      <c r="E117" s="9">
        <v>0</v>
      </c>
    </row>
    <row r="118" spans="1:5" x14ac:dyDescent="0.35">
      <c r="A118" s="8"/>
      <c r="B118" t="s">
        <v>16</v>
      </c>
      <c r="C118" t="s">
        <v>49</v>
      </c>
      <c r="D118" t="s">
        <v>68</v>
      </c>
      <c r="E118" s="9">
        <v>0.625</v>
      </c>
    </row>
    <row r="119" spans="1:5" x14ac:dyDescent="0.35">
      <c r="A119" s="8"/>
      <c r="B119" t="s">
        <v>16</v>
      </c>
      <c r="C119" t="s">
        <v>51</v>
      </c>
      <c r="D119" t="s">
        <v>90</v>
      </c>
      <c r="E119" s="9">
        <v>0.25</v>
      </c>
    </row>
    <row r="120" spans="1:5" x14ac:dyDescent="0.35">
      <c r="A120" s="8"/>
      <c r="B120" t="s">
        <v>16</v>
      </c>
      <c r="C120" t="s">
        <v>52</v>
      </c>
      <c r="D120" t="s">
        <v>30</v>
      </c>
      <c r="E120" s="9">
        <v>0</v>
      </c>
    </row>
    <row r="121" spans="1:5" x14ac:dyDescent="0.35">
      <c r="A121" s="8"/>
      <c r="B121" t="s">
        <v>16</v>
      </c>
      <c r="C121" t="s">
        <v>54</v>
      </c>
      <c r="D121" t="s">
        <v>99</v>
      </c>
      <c r="E121" s="9">
        <v>0.6</v>
      </c>
    </row>
    <row r="122" spans="1:5" x14ac:dyDescent="0.35">
      <c r="A122" s="8"/>
      <c r="B122" t="s">
        <v>16</v>
      </c>
      <c r="C122" t="s">
        <v>56</v>
      </c>
      <c r="D122" t="s">
        <v>100</v>
      </c>
      <c r="E122" s="9">
        <v>0.64900000000000002</v>
      </c>
    </row>
    <row r="123" spans="1:5" x14ac:dyDescent="0.35">
      <c r="A123" s="8"/>
      <c r="B123" t="s">
        <v>16</v>
      </c>
      <c r="C123" t="s">
        <v>58</v>
      </c>
      <c r="D123" t="s">
        <v>30</v>
      </c>
      <c r="E123" s="9">
        <v>0</v>
      </c>
    </row>
    <row r="124" spans="1:5" x14ac:dyDescent="0.35">
      <c r="A124" s="8"/>
      <c r="B124" t="s">
        <v>16</v>
      </c>
      <c r="C124" t="s">
        <v>60</v>
      </c>
      <c r="D124" t="s">
        <v>30</v>
      </c>
      <c r="E124" s="9">
        <v>0</v>
      </c>
    </row>
    <row r="125" spans="1:5" x14ac:dyDescent="0.35">
      <c r="A125" s="8"/>
      <c r="B125" t="s">
        <v>16</v>
      </c>
      <c r="C125" t="s">
        <v>61</v>
      </c>
      <c r="D125" t="s">
        <v>101</v>
      </c>
      <c r="E125" s="9">
        <v>0.875</v>
      </c>
    </row>
    <row r="126" spans="1:5" x14ac:dyDescent="0.35">
      <c r="A126" s="8"/>
      <c r="B126" t="s">
        <v>16</v>
      </c>
      <c r="C126" t="s">
        <v>62</v>
      </c>
      <c r="D126" t="s">
        <v>30</v>
      </c>
      <c r="E126" s="9">
        <v>0</v>
      </c>
    </row>
    <row r="127" spans="1:5" x14ac:dyDescent="0.35">
      <c r="A127" s="8"/>
      <c r="B127" t="s">
        <v>16</v>
      </c>
      <c r="C127" t="s">
        <v>64</v>
      </c>
      <c r="D127" t="s">
        <v>30</v>
      </c>
      <c r="E127" s="9">
        <v>0</v>
      </c>
    </row>
    <row r="128" spans="1:5" x14ac:dyDescent="0.35">
      <c r="A128" s="11"/>
    </row>
    <row r="129" spans="1:9" x14ac:dyDescent="0.35">
      <c r="A129" s="10"/>
    </row>
    <row r="130" spans="1:9" x14ac:dyDescent="0.35">
      <c r="A130" s="11"/>
    </row>
    <row r="131" spans="1:9" x14ac:dyDescent="0.35">
      <c r="A131" s="11"/>
    </row>
    <row r="132" spans="1:9" x14ac:dyDescent="0.35">
      <c r="A132" s="11"/>
    </row>
    <row r="133" spans="1:9" x14ac:dyDescent="0.35">
      <c r="A133" s="7"/>
      <c r="B133" t="s">
        <v>12</v>
      </c>
      <c r="C133" t="s">
        <v>13</v>
      </c>
      <c r="D133" t="s">
        <v>14</v>
      </c>
      <c r="E133" t="s">
        <v>15</v>
      </c>
      <c r="F133" t="s">
        <v>49</v>
      </c>
      <c r="G133" t="s">
        <v>33</v>
      </c>
      <c r="H133" t="s">
        <v>102</v>
      </c>
      <c r="I133" s="9">
        <v>0.47</v>
      </c>
    </row>
    <row r="134" spans="1:9" x14ac:dyDescent="0.35">
      <c r="A134" s="8"/>
      <c r="B134" t="s">
        <v>16</v>
      </c>
      <c r="C134" t="s">
        <v>38</v>
      </c>
      <c r="D134" t="s">
        <v>103</v>
      </c>
      <c r="E134" s="9">
        <v>0.16700000000000001</v>
      </c>
    </row>
    <row r="135" spans="1:9" x14ac:dyDescent="0.35">
      <c r="A135" s="8"/>
      <c r="B135" t="s">
        <v>16</v>
      </c>
      <c r="C135" t="s">
        <v>35</v>
      </c>
      <c r="D135" t="s">
        <v>104</v>
      </c>
      <c r="E135" s="9">
        <v>0.27800000000000002</v>
      </c>
    </row>
    <row r="136" spans="1:9" x14ac:dyDescent="0.35">
      <c r="A136" s="8"/>
      <c r="B136" t="s">
        <v>16</v>
      </c>
      <c r="C136" t="s">
        <v>41</v>
      </c>
      <c r="D136" t="s">
        <v>105</v>
      </c>
      <c r="E136" s="9">
        <v>0.4</v>
      </c>
    </row>
    <row r="137" spans="1:9" x14ac:dyDescent="0.35">
      <c r="A137" s="8"/>
      <c r="B137" t="s">
        <v>16</v>
      </c>
      <c r="C137" t="s">
        <v>43</v>
      </c>
      <c r="D137" t="s">
        <v>106</v>
      </c>
      <c r="E137" s="9">
        <v>0.6</v>
      </c>
    </row>
    <row r="138" spans="1:9" x14ac:dyDescent="0.35">
      <c r="A138" s="8"/>
      <c r="B138" t="s">
        <v>16</v>
      </c>
      <c r="C138" t="s">
        <v>45</v>
      </c>
      <c r="D138" t="s">
        <v>30</v>
      </c>
      <c r="E138" s="9">
        <v>0</v>
      </c>
    </row>
    <row r="139" spans="1:9" x14ac:dyDescent="0.35">
      <c r="A139" s="8"/>
      <c r="B139" t="s">
        <v>16</v>
      </c>
      <c r="C139" t="s">
        <v>47</v>
      </c>
      <c r="D139" t="s">
        <v>78</v>
      </c>
      <c r="E139" s="9">
        <v>0.375</v>
      </c>
    </row>
    <row r="140" spans="1:9" x14ac:dyDescent="0.35">
      <c r="A140" s="8"/>
      <c r="B140" t="s">
        <v>16</v>
      </c>
      <c r="C140" t="s">
        <v>49</v>
      </c>
      <c r="D140" t="s">
        <v>30</v>
      </c>
      <c r="E140" s="9">
        <v>0</v>
      </c>
    </row>
    <row r="141" spans="1:9" x14ac:dyDescent="0.35">
      <c r="A141" s="8"/>
      <c r="B141" t="s">
        <v>16</v>
      </c>
      <c r="C141" t="s">
        <v>51</v>
      </c>
      <c r="D141" t="s">
        <v>53</v>
      </c>
      <c r="E141" s="9">
        <v>0.5</v>
      </c>
    </row>
    <row r="142" spans="1:9" x14ac:dyDescent="0.35">
      <c r="A142" s="8"/>
      <c r="B142" t="s">
        <v>16</v>
      </c>
      <c r="C142" t="s">
        <v>52</v>
      </c>
      <c r="D142" t="s">
        <v>30</v>
      </c>
      <c r="E142" s="9">
        <v>0</v>
      </c>
    </row>
    <row r="143" spans="1:9" x14ac:dyDescent="0.35">
      <c r="A143" s="8"/>
      <c r="B143" t="s">
        <v>16</v>
      </c>
      <c r="C143" t="s">
        <v>54</v>
      </c>
      <c r="D143" t="s">
        <v>107</v>
      </c>
      <c r="E143" s="9">
        <v>0.60499999999999998</v>
      </c>
    </row>
    <row r="144" spans="1:9" x14ac:dyDescent="0.35">
      <c r="A144" s="8"/>
      <c r="B144" t="s">
        <v>16</v>
      </c>
      <c r="C144" t="s">
        <v>56</v>
      </c>
      <c r="D144" t="s">
        <v>108</v>
      </c>
      <c r="E144" s="9">
        <v>0</v>
      </c>
    </row>
    <row r="145" spans="1:9" x14ac:dyDescent="0.35">
      <c r="A145" s="8"/>
      <c r="B145" t="s">
        <v>16</v>
      </c>
      <c r="C145" t="s">
        <v>58</v>
      </c>
      <c r="D145" t="s">
        <v>30</v>
      </c>
      <c r="E145" s="9">
        <v>0</v>
      </c>
    </row>
    <row r="146" spans="1:9" x14ac:dyDescent="0.35">
      <c r="A146" s="8"/>
      <c r="B146" t="s">
        <v>16</v>
      </c>
      <c r="C146" t="s">
        <v>60</v>
      </c>
      <c r="D146" t="s">
        <v>30</v>
      </c>
      <c r="E146" s="9">
        <v>0</v>
      </c>
    </row>
    <row r="147" spans="1:9" x14ac:dyDescent="0.35">
      <c r="A147" s="8"/>
      <c r="B147" t="s">
        <v>16</v>
      </c>
      <c r="C147" t="s">
        <v>61</v>
      </c>
      <c r="D147" t="s">
        <v>59</v>
      </c>
      <c r="E147" s="9">
        <v>1</v>
      </c>
    </row>
    <row r="148" spans="1:9" x14ac:dyDescent="0.35">
      <c r="A148" s="8"/>
      <c r="B148" t="s">
        <v>16</v>
      </c>
      <c r="C148" t="s">
        <v>62</v>
      </c>
      <c r="D148" t="s">
        <v>83</v>
      </c>
      <c r="E148" s="9">
        <v>0.66700000000000004</v>
      </c>
    </row>
    <row r="149" spans="1:9" x14ac:dyDescent="0.35">
      <c r="A149" s="8"/>
      <c r="B149" t="s">
        <v>16</v>
      </c>
      <c r="C149" t="s">
        <v>64</v>
      </c>
      <c r="D149" t="s">
        <v>30</v>
      </c>
      <c r="E149" s="9">
        <v>0</v>
      </c>
    </row>
    <row r="150" spans="1:9" x14ac:dyDescent="0.35">
      <c r="A150" s="11"/>
    </row>
    <row r="151" spans="1:9" x14ac:dyDescent="0.35">
      <c r="A151" s="10"/>
    </row>
    <row r="152" spans="1:9" x14ac:dyDescent="0.35">
      <c r="A152" s="11"/>
    </row>
    <row r="153" spans="1:9" x14ac:dyDescent="0.35">
      <c r="A153" s="11"/>
    </row>
    <row r="154" spans="1:9" x14ac:dyDescent="0.35">
      <c r="A154" s="11"/>
    </row>
    <row r="155" spans="1:9" x14ac:dyDescent="0.35">
      <c r="A155" s="7"/>
      <c r="B155" t="s">
        <v>12</v>
      </c>
      <c r="C155" t="s">
        <v>13</v>
      </c>
      <c r="D155" t="s">
        <v>14</v>
      </c>
      <c r="E155" t="s">
        <v>15</v>
      </c>
      <c r="F155" t="s">
        <v>51</v>
      </c>
      <c r="G155" t="s">
        <v>33</v>
      </c>
      <c r="H155" t="s">
        <v>109</v>
      </c>
      <c r="I155" s="9">
        <v>0.437</v>
      </c>
    </row>
    <row r="156" spans="1:9" x14ac:dyDescent="0.35">
      <c r="A156" s="8"/>
      <c r="B156" t="s">
        <v>16</v>
      </c>
      <c r="C156" t="s">
        <v>38</v>
      </c>
      <c r="D156" t="s">
        <v>110</v>
      </c>
      <c r="E156" s="9">
        <v>0.19500000000000001</v>
      </c>
    </row>
    <row r="157" spans="1:9" x14ac:dyDescent="0.35">
      <c r="A157" s="8"/>
      <c r="B157" t="s">
        <v>16</v>
      </c>
      <c r="C157" t="s">
        <v>35</v>
      </c>
      <c r="D157" t="s">
        <v>77</v>
      </c>
      <c r="E157" s="9">
        <v>0.55600000000000005</v>
      </c>
    </row>
    <row r="158" spans="1:9" x14ac:dyDescent="0.35">
      <c r="A158" s="8"/>
      <c r="B158" t="s">
        <v>16</v>
      </c>
      <c r="C158" t="s">
        <v>41</v>
      </c>
      <c r="D158" t="s">
        <v>111</v>
      </c>
      <c r="E158" s="9">
        <v>0</v>
      </c>
    </row>
    <row r="159" spans="1:9" x14ac:dyDescent="0.35">
      <c r="A159" s="8"/>
      <c r="B159" t="s">
        <v>16</v>
      </c>
      <c r="C159" t="s">
        <v>43</v>
      </c>
      <c r="D159" t="s">
        <v>112</v>
      </c>
      <c r="E159" s="9">
        <v>0.7</v>
      </c>
    </row>
    <row r="160" spans="1:9" x14ac:dyDescent="0.35">
      <c r="A160" s="8"/>
      <c r="B160" t="s">
        <v>16</v>
      </c>
      <c r="C160" t="s">
        <v>45</v>
      </c>
      <c r="D160" t="s">
        <v>113</v>
      </c>
      <c r="E160" s="9">
        <v>0.75</v>
      </c>
    </row>
    <row r="161" spans="1:5" x14ac:dyDescent="0.35">
      <c r="A161" s="8"/>
      <c r="B161" t="s">
        <v>16</v>
      </c>
      <c r="C161" t="s">
        <v>47</v>
      </c>
      <c r="D161" t="s">
        <v>113</v>
      </c>
      <c r="E161" s="9">
        <v>0.75</v>
      </c>
    </row>
    <row r="162" spans="1:5" x14ac:dyDescent="0.35">
      <c r="A162" s="8"/>
      <c r="B162" t="s">
        <v>16</v>
      </c>
      <c r="C162" t="s">
        <v>49</v>
      </c>
      <c r="D162" t="s">
        <v>53</v>
      </c>
      <c r="E162" s="9">
        <v>0.5</v>
      </c>
    </row>
    <row r="163" spans="1:5" x14ac:dyDescent="0.35">
      <c r="A163" s="8"/>
      <c r="B163" t="s">
        <v>16</v>
      </c>
      <c r="C163" t="s">
        <v>51</v>
      </c>
      <c r="D163" t="s">
        <v>30</v>
      </c>
      <c r="E163" s="9">
        <v>0</v>
      </c>
    </row>
    <row r="164" spans="1:5" x14ac:dyDescent="0.35">
      <c r="A164" s="8"/>
      <c r="B164" t="s">
        <v>16</v>
      </c>
      <c r="C164" t="s">
        <v>52</v>
      </c>
      <c r="D164" t="s">
        <v>114</v>
      </c>
      <c r="E164" s="9">
        <v>0.52600000000000002</v>
      </c>
    </row>
    <row r="165" spans="1:5" x14ac:dyDescent="0.35">
      <c r="A165" s="8"/>
      <c r="B165" t="s">
        <v>16</v>
      </c>
      <c r="C165" t="s">
        <v>54</v>
      </c>
      <c r="D165" t="s">
        <v>30</v>
      </c>
      <c r="E165" s="9">
        <v>0</v>
      </c>
    </row>
    <row r="166" spans="1:5" x14ac:dyDescent="0.35">
      <c r="A166" s="8"/>
      <c r="B166" t="s">
        <v>16</v>
      </c>
      <c r="C166" t="s">
        <v>56</v>
      </c>
      <c r="D166" t="s">
        <v>59</v>
      </c>
      <c r="E166" s="9">
        <v>1</v>
      </c>
    </row>
    <row r="167" spans="1:5" x14ac:dyDescent="0.35">
      <c r="A167" s="8"/>
      <c r="B167" t="s">
        <v>16</v>
      </c>
      <c r="C167" t="s">
        <v>58</v>
      </c>
      <c r="D167" t="s">
        <v>31</v>
      </c>
      <c r="E167" s="9">
        <v>0</v>
      </c>
    </row>
    <row r="168" spans="1:5" x14ac:dyDescent="0.35">
      <c r="A168" s="8"/>
      <c r="B168" t="s">
        <v>16</v>
      </c>
      <c r="C168" t="s">
        <v>60</v>
      </c>
      <c r="D168" t="s">
        <v>59</v>
      </c>
      <c r="E168" s="9">
        <v>1</v>
      </c>
    </row>
    <row r="169" spans="1:5" x14ac:dyDescent="0.35">
      <c r="A169" s="8"/>
      <c r="B169" t="s">
        <v>16</v>
      </c>
      <c r="C169" t="s">
        <v>61</v>
      </c>
      <c r="D169" t="s">
        <v>30</v>
      </c>
      <c r="E169" s="9">
        <v>0</v>
      </c>
    </row>
    <row r="170" spans="1:5" x14ac:dyDescent="0.35">
      <c r="A170" s="8"/>
      <c r="B170" t="s">
        <v>16</v>
      </c>
      <c r="C170" t="s">
        <v>62</v>
      </c>
      <c r="D170" t="s">
        <v>30</v>
      </c>
      <c r="E170" s="9">
        <v>0</v>
      </c>
    </row>
    <row r="171" spans="1:5" x14ac:dyDescent="0.35">
      <c r="A171" s="8"/>
      <c r="B171" t="s">
        <v>16</v>
      </c>
      <c r="C171" t="s">
        <v>64</v>
      </c>
      <c r="D171" t="s">
        <v>30</v>
      </c>
      <c r="E171" s="9">
        <v>0</v>
      </c>
    </row>
    <row r="172" spans="1:5" x14ac:dyDescent="0.35">
      <c r="A172" s="11"/>
    </row>
    <row r="173" spans="1:5" x14ac:dyDescent="0.35">
      <c r="A173" s="10"/>
    </row>
    <row r="174" spans="1:5" x14ac:dyDescent="0.35">
      <c r="A174" s="11"/>
    </row>
    <row r="175" spans="1:5" x14ac:dyDescent="0.35">
      <c r="A175" s="11"/>
    </row>
    <row r="176" spans="1:5" x14ac:dyDescent="0.35">
      <c r="A176" s="11"/>
    </row>
    <row r="177" spans="1:12" x14ac:dyDescent="0.35">
      <c r="A177" s="7"/>
      <c r="B177" t="s">
        <v>12</v>
      </c>
      <c r="C177" t="s">
        <v>13</v>
      </c>
      <c r="D177" t="s">
        <v>14</v>
      </c>
      <c r="E177" t="s">
        <v>15</v>
      </c>
      <c r="F177" t="s">
        <v>52</v>
      </c>
      <c r="G177" t="s">
        <v>33</v>
      </c>
      <c r="H177" t="s">
        <v>115</v>
      </c>
      <c r="I177" s="9">
        <v>0.35899999999999999</v>
      </c>
    </row>
    <row r="178" spans="1:12" x14ac:dyDescent="0.35">
      <c r="A178" s="8"/>
      <c r="B178" t="s">
        <v>16</v>
      </c>
      <c r="C178" t="s">
        <v>38</v>
      </c>
      <c r="D178" t="s">
        <v>116</v>
      </c>
      <c r="E178" s="9">
        <v>9.6000000000000002E-2</v>
      </c>
      <c r="F178" s="9">
        <v>0.14299999999999999</v>
      </c>
      <c r="G178" s="9">
        <v>0.5</v>
      </c>
      <c r="H178" s="9">
        <v>0</v>
      </c>
      <c r="I178" s="9">
        <v>0</v>
      </c>
      <c r="J178" s="9">
        <v>0</v>
      </c>
      <c r="K178" s="9">
        <v>1</v>
      </c>
      <c r="L178" s="9">
        <v>0</v>
      </c>
    </row>
    <row r="179" spans="1:12" x14ac:dyDescent="0.35">
      <c r="A179" s="8"/>
      <c r="B179" t="s">
        <v>16</v>
      </c>
      <c r="C179" t="s">
        <v>35</v>
      </c>
      <c r="D179" t="s">
        <v>53</v>
      </c>
      <c r="E179" s="9">
        <v>0.5</v>
      </c>
      <c r="F179" s="9">
        <v>0.40699999999999997</v>
      </c>
      <c r="G179" s="9">
        <v>7.0999999999999994E-2</v>
      </c>
      <c r="H179" s="9">
        <v>0</v>
      </c>
      <c r="I179" s="9">
        <v>0</v>
      </c>
      <c r="J179" s="9">
        <v>0</v>
      </c>
      <c r="K179" s="9">
        <v>7.0000000000000007E-2</v>
      </c>
      <c r="L179" s="9">
        <v>0</v>
      </c>
    </row>
    <row r="180" spans="1:12" x14ac:dyDescent="0.35">
      <c r="A180" s="8"/>
      <c r="B180" t="s">
        <v>16</v>
      </c>
      <c r="C180" t="s">
        <v>41</v>
      </c>
      <c r="D180" t="s">
        <v>111</v>
      </c>
      <c r="E180" s="9">
        <v>0</v>
      </c>
      <c r="F180" s="9">
        <v>0.308</v>
      </c>
      <c r="G180" s="9">
        <v>0.29199999999999998</v>
      </c>
      <c r="H180" s="9">
        <v>0</v>
      </c>
      <c r="I180" s="9">
        <v>0</v>
      </c>
      <c r="J180" s="9">
        <v>0.16400000000000001</v>
      </c>
      <c r="K180" s="9">
        <v>0.5</v>
      </c>
      <c r="L180" s="9">
        <v>0</v>
      </c>
    </row>
    <row r="181" spans="1:12" x14ac:dyDescent="0.35">
      <c r="A181" s="8"/>
      <c r="B181" t="s">
        <v>16</v>
      </c>
      <c r="C181" t="s">
        <v>43</v>
      </c>
      <c r="D181" t="s">
        <v>91</v>
      </c>
      <c r="E181" s="9">
        <v>0.33300000000000002</v>
      </c>
      <c r="F181" s="9">
        <v>0</v>
      </c>
      <c r="G181" s="9">
        <v>0</v>
      </c>
      <c r="H181" s="9">
        <v>0.316</v>
      </c>
      <c r="I181" s="9">
        <v>0.19700000000000001</v>
      </c>
      <c r="J181" s="9">
        <v>0</v>
      </c>
      <c r="K181" s="9">
        <v>0</v>
      </c>
      <c r="L181" s="9">
        <v>0</v>
      </c>
    </row>
    <row r="182" spans="1:12" x14ac:dyDescent="0.35">
      <c r="A182" s="8"/>
      <c r="B182" t="s">
        <v>16</v>
      </c>
      <c r="C182" t="s">
        <v>45</v>
      </c>
      <c r="D182" t="s">
        <v>83</v>
      </c>
      <c r="E182" s="9">
        <v>0.66700000000000004</v>
      </c>
      <c r="F182" s="9">
        <v>0</v>
      </c>
      <c r="G182" s="9">
        <v>0</v>
      </c>
      <c r="H182" s="9">
        <v>0.33100000000000002</v>
      </c>
      <c r="I182" s="9">
        <v>0.2</v>
      </c>
      <c r="J182" s="9">
        <v>0</v>
      </c>
      <c r="K182" s="9">
        <v>0</v>
      </c>
      <c r="L182" s="9">
        <v>0</v>
      </c>
    </row>
    <row r="183" spans="1:12" x14ac:dyDescent="0.35">
      <c r="A183" s="8"/>
      <c r="B183" t="s">
        <v>16</v>
      </c>
      <c r="C183" t="s">
        <v>47</v>
      </c>
      <c r="D183" t="s">
        <v>30</v>
      </c>
      <c r="E183" s="9">
        <v>0</v>
      </c>
      <c r="F183" s="9">
        <v>0.4</v>
      </c>
      <c r="G183" s="9">
        <v>0.35099999999999998</v>
      </c>
      <c r="H183" s="9">
        <v>0</v>
      </c>
      <c r="I183" s="9">
        <v>0</v>
      </c>
      <c r="J183" s="9">
        <v>0.125</v>
      </c>
      <c r="K183" s="9">
        <v>0</v>
      </c>
      <c r="L183" s="9">
        <v>0</v>
      </c>
    </row>
    <row r="184" spans="1:12" x14ac:dyDescent="0.35">
      <c r="A184" s="8"/>
      <c r="B184" t="s">
        <v>16</v>
      </c>
      <c r="C184" t="s">
        <v>49</v>
      </c>
      <c r="D184" t="s">
        <v>30</v>
      </c>
      <c r="E184" s="9">
        <v>0</v>
      </c>
      <c r="F184" s="9">
        <v>0.39500000000000002</v>
      </c>
      <c r="G184" s="9">
        <v>1</v>
      </c>
      <c r="H184" s="9">
        <v>0</v>
      </c>
      <c r="I184" s="9">
        <v>0</v>
      </c>
      <c r="J184" s="9">
        <v>0</v>
      </c>
      <c r="K184" s="9">
        <v>0.33300000000000002</v>
      </c>
      <c r="L184" s="9">
        <v>0</v>
      </c>
    </row>
    <row r="185" spans="1:12" x14ac:dyDescent="0.35">
      <c r="A185" s="8"/>
      <c r="B185" t="s">
        <v>16</v>
      </c>
      <c r="C185" t="s">
        <v>51</v>
      </c>
      <c r="D185" t="s">
        <v>117</v>
      </c>
      <c r="E185" s="9">
        <v>0.47399999999999998</v>
      </c>
      <c r="F185" s="9">
        <v>0</v>
      </c>
      <c r="G185" s="9">
        <v>0</v>
      </c>
      <c r="H185" s="9">
        <v>1</v>
      </c>
      <c r="I185" s="9">
        <v>0</v>
      </c>
      <c r="J185" s="9">
        <v>0</v>
      </c>
      <c r="K185" s="9">
        <v>0</v>
      </c>
      <c r="L185" s="9">
        <v>0</v>
      </c>
    </row>
    <row r="186" spans="1:12" x14ac:dyDescent="0.35">
      <c r="A186" s="8"/>
      <c r="B186" t="s">
        <v>16</v>
      </c>
      <c r="C186" t="s">
        <v>52</v>
      </c>
      <c r="D186" t="s">
        <v>30</v>
      </c>
      <c r="E186" s="9">
        <v>0</v>
      </c>
      <c r="F186" s="9">
        <v>0</v>
      </c>
      <c r="G186" s="9">
        <v>0</v>
      </c>
      <c r="H186" s="9">
        <v>0</v>
      </c>
      <c r="I186" s="9">
        <v>0</v>
      </c>
      <c r="J186" s="9">
        <v>0</v>
      </c>
      <c r="K186" s="9">
        <v>0</v>
      </c>
      <c r="L186" s="9">
        <v>0</v>
      </c>
    </row>
    <row r="187" spans="1:12" x14ac:dyDescent="0.35">
      <c r="A187" s="8"/>
      <c r="B187" t="s">
        <v>16</v>
      </c>
      <c r="C187" t="s">
        <v>54</v>
      </c>
      <c r="D187" t="s">
        <v>59</v>
      </c>
      <c r="E187" s="9">
        <v>1</v>
      </c>
      <c r="F187" s="9">
        <v>0</v>
      </c>
      <c r="G187" s="9">
        <v>0.66700000000000004</v>
      </c>
      <c r="H187" s="9">
        <v>0</v>
      </c>
      <c r="I187" s="9">
        <v>0</v>
      </c>
      <c r="J187" s="9">
        <v>0</v>
      </c>
      <c r="K187" s="9">
        <v>0.16700000000000001</v>
      </c>
      <c r="L187" s="9">
        <v>0</v>
      </c>
    </row>
    <row r="188" spans="1:12" x14ac:dyDescent="0.35">
      <c r="A188" s="8"/>
      <c r="B188" t="s">
        <v>16</v>
      </c>
      <c r="C188" t="s">
        <v>56</v>
      </c>
      <c r="D188" t="s">
        <v>30</v>
      </c>
      <c r="E188" s="9">
        <v>0</v>
      </c>
      <c r="F188" s="9">
        <v>0.33300000000000002</v>
      </c>
      <c r="G188" s="9">
        <v>0</v>
      </c>
      <c r="H188" s="9">
        <v>0</v>
      </c>
      <c r="I188" s="9">
        <v>0</v>
      </c>
      <c r="J188" s="9">
        <v>0</v>
      </c>
      <c r="K188" s="9">
        <v>0</v>
      </c>
      <c r="L188" s="9">
        <v>0</v>
      </c>
    </row>
    <row r="189" spans="1:12" x14ac:dyDescent="0.35">
      <c r="A189" s="8"/>
      <c r="B189" t="s">
        <v>16</v>
      </c>
      <c r="C189" t="s">
        <v>58</v>
      </c>
      <c r="D189" t="s">
        <v>30</v>
      </c>
      <c r="E189" s="9">
        <v>0</v>
      </c>
      <c r="F189" s="9">
        <v>0</v>
      </c>
      <c r="G189" s="9">
        <v>0</v>
      </c>
      <c r="H189" s="9">
        <v>0</v>
      </c>
      <c r="I189" s="9">
        <v>0.27300000000000002</v>
      </c>
      <c r="J189" s="9">
        <v>0</v>
      </c>
      <c r="K189" s="9">
        <v>0</v>
      </c>
      <c r="L189" s="9">
        <v>0</v>
      </c>
    </row>
    <row r="190" spans="1:12" x14ac:dyDescent="0.35">
      <c r="A190" s="8"/>
      <c r="B190" t="s">
        <v>16</v>
      </c>
      <c r="C190" t="s">
        <v>60</v>
      </c>
      <c r="D190" t="s">
        <v>59</v>
      </c>
      <c r="E190" s="9">
        <v>1</v>
      </c>
      <c r="F190" s="9">
        <v>0</v>
      </c>
      <c r="G190" s="9">
        <v>0</v>
      </c>
      <c r="H190" s="9">
        <v>0.72699999999999998</v>
      </c>
      <c r="I190" s="9">
        <v>0</v>
      </c>
      <c r="J190" s="9">
        <v>0</v>
      </c>
      <c r="K190" s="9">
        <v>0</v>
      </c>
      <c r="L190" s="9">
        <v>0</v>
      </c>
    </row>
    <row r="191" spans="1:12" x14ac:dyDescent="0.35">
      <c r="A191" s="8"/>
      <c r="B191" t="s">
        <v>16</v>
      </c>
      <c r="C191" t="s">
        <v>61</v>
      </c>
      <c r="D191" t="s">
        <v>30</v>
      </c>
      <c r="E191" s="9">
        <v>0</v>
      </c>
      <c r="F191" s="9">
        <v>1</v>
      </c>
      <c r="G191" s="9">
        <v>1</v>
      </c>
      <c r="H191" s="9">
        <v>0</v>
      </c>
      <c r="I191" s="9">
        <v>0</v>
      </c>
      <c r="J191" s="9">
        <v>0</v>
      </c>
      <c r="K191" s="9">
        <v>0</v>
      </c>
      <c r="L191" s="9">
        <v>0</v>
      </c>
    </row>
    <row r="192" spans="1:12" x14ac:dyDescent="0.35">
      <c r="A192" s="8"/>
      <c r="B192" t="s">
        <v>16</v>
      </c>
      <c r="C192" t="s">
        <v>62</v>
      </c>
      <c r="D192" t="s">
        <v>30</v>
      </c>
      <c r="E192" s="9">
        <v>0</v>
      </c>
      <c r="F192" s="9">
        <v>0.83299999999999996</v>
      </c>
      <c r="G192" s="9">
        <v>0</v>
      </c>
      <c r="H192" s="9">
        <v>0</v>
      </c>
      <c r="I192" s="9">
        <v>0</v>
      </c>
      <c r="J192" s="9">
        <v>0</v>
      </c>
      <c r="K192" s="9">
        <v>0</v>
      </c>
      <c r="L192" s="9">
        <v>0</v>
      </c>
    </row>
    <row r="193" spans="1:12" x14ac:dyDescent="0.35">
      <c r="A193" s="8"/>
      <c r="B193" t="s">
        <v>16</v>
      </c>
      <c r="C193" t="s">
        <v>64</v>
      </c>
      <c r="D193" t="s">
        <v>30</v>
      </c>
      <c r="E193" s="9">
        <v>0</v>
      </c>
      <c r="F193" s="9">
        <v>0</v>
      </c>
      <c r="G193" s="9">
        <v>0</v>
      </c>
      <c r="H193" s="9">
        <v>0</v>
      </c>
      <c r="I193" s="9">
        <v>0</v>
      </c>
      <c r="J193" s="9">
        <v>0</v>
      </c>
      <c r="K193" s="9">
        <v>0</v>
      </c>
      <c r="L193" s="9">
        <v>0</v>
      </c>
    </row>
    <row r="194" spans="1:12" x14ac:dyDescent="0.35">
      <c r="A194" s="11"/>
    </row>
    <row r="195" spans="1:12" x14ac:dyDescent="0.35">
      <c r="A195" s="10"/>
    </row>
    <row r="196" spans="1:12" x14ac:dyDescent="0.35">
      <c r="A196" s="11"/>
    </row>
    <row r="197" spans="1:12" x14ac:dyDescent="0.35">
      <c r="A197" s="11"/>
    </row>
    <row r="198" spans="1:12" x14ac:dyDescent="0.35">
      <c r="A198" s="11"/>
    </row>
    <row r="199" spans="1:12" x14ac:dyDescent="0.35">
      <c r="A199" s="7"/>
      <c r="B199" t="s">
        <v>12</v>
      </c>
      <c r="C199" t="s">
        <v>13</v>
      </c>
      <c r="D199" t="s">
        <v>14</v>
      </c>
      <c r="E199" t="s">
        <v>15</v>
      </c>
      <c r="F199" t="s">
        <v>54</v>
      </c>
      <c r="G199" t="s">
        <v>33</v>
      </c>
      <c r="H199" t="s">
        <v>118</v>
      </c>
      <c r="I199" s="9">
        <v>0.39200000000000002</v>
      </c>
    </row>
    <row r="200" spans="1:12" x14ac:dyDescent="0.35">
      <c r="A200" s="8"/>
      <c r="B200" t="s">
        <v>16</v>
      </c>
      <c r="C200" t="s">
        <v>38</v>
      </c>
      <c r="D200" t="s">
        <v>119</v>
      </c>
      <c r="E200" s="9">
        <v>0.14299999999999999</v>
      </c>
    </row>
    <row r="201" spans="1:12" x14ac:dyDescent="0.35">
      <c r="A201" s="8"/>
      <c r="B201" t="s">
        <v>16</v>
      </c>
      <c r="C201" t="s">
        <v>35</v>
      </c>
      <c r="D201" t="s">
        <v>120</v>
      </c>
      <c r="E201" s="9">
        <v>0.40699999999999997</v>
      </c>
    </row>
    <row r="202" spans="1:12" x14ac:dyDescent="0.35">
      <c r="A202" s="8"/>
      <c r="B202" t="s">
        <v>16</v>
      </c>
      <c r="C202" t="s">
        <v>41</v>
      </c>
      <c r="D202" t="s">
        <v>121</v>
      </c>
      <c r="E202" s="9">
        <v>0.308</v>
      </c>
    </row>
    <row r="203" spans="1:12" x14ac:dyDescent="0.35">
      <c r="A203" s="8"/>
      <c r="B203" t="s">
        <v>16</v>
      </c>
      <c r="C203" t="s">
        <v>43</v>
      </c>
      <c r="D203" t="s">
        <v>111</v>
      </c>
      <c r="E203" s="9">
        <v>0</v>
      </c>
    </row>
    <row r="204" spans="1:12" x14ac:dyDescent="0.35">
      <c r="A204" s="8"/>
      <c r="B204" t="s">
        <v>16</v>
      </c>
      <c r="C204" t="s">
        <v>45</v>
      </c>
      <c r="D204" t="s">
        <v>31</v>
      </c>
      <c r="E204" s="9">
        <v>0</v>
      </c>
    </row>
    <row r="205" spans="1:12" x14ac:dyDescent="0.35">
      <c r="A205" s="8"/>
      <c r="B205" t="s">
        <v>16</v>
      </c>
      <c r="C205" t="s">
        <v>47</v>
      </c>
      <c r="D205" t="s">
        <v>122</v>
      </c>
      <c r="E205" s="9">
        <v>0.4</v>
      </c>
    </row>
    <row r="206" spans="1:12" x14ac:dyDescent="0.35">
      <c r="A206" s="8"/>
      <c r="B206" t="s">
        <v>16</v>
      </c>
      <c r="C206" t="s">
        <v>49</v>
      </c>
      <c r="D206" t="s">
        <v>123</v>
      </c>
      <c r="E206" s="9">
        <v>0.39500000000000002</v>
      </c>
    </row>
    <row r="207" spans="1:12" x14ac:dyDescent="0.35">
      <c r="A207" s="8"/>
      <c r="B207" t="s">
        <v>16</v>
      </c>
      <c r="C207" t="s">
        <v>51</v>
      </c>
      <c r="D207" t="s">
        <v>30</v>
      </c>
      <c r="E207" s="9">
        <v>0</v>
      </c>
    </row>
    <row r="208" spans="1:12" x14ac:dyDescent="0.35">
      <c r="A208" s="8"/>
      <c r="B208" t="s">
        <v>16</v>
      </c>
      <c r="C208" t="s">
        <v>52</v>
      </c>
      <c r="D208" t="s">
        <v>31</v>
      </c>
      <c r="E208" s="9">
        <v>0</v>
      </c>
    </row>
    <row r="209" spans="1:9" x14ac:dyDescent="0.35">
      <c r="A209" s="8"/>
      <c r="B209" t="s">
        <v>16</v>
      </c>
      <c r="C209" t="s">
        <v>54</v>
      </c>
      <c r="D209" t="s">
        <v>30</v>
      </c>
      <c r="E209" s="9">
        <v>0</v>
      </c>
    </row>
    <row r="210" spans="1:9" x14ac:dyDescent="0.35">
      <c r="A210" s="8"/>
      <c r="B210" t="s">
        <v>16</v>
      </c>
      <c r="C210" t="s">
        <v>56</v>
      </c>
      <c r="D210" t="s">
        <v>91</v>
      </c>
      <c r="E210" s="9">
        <v>0.33300000000000002</v>
      </c>
    </row>
    <row r="211" spans="1:9" x14ac:dyDescent="0.35">
      <c r="A211" s="8"/>
      <c r="B211" t="s">
        <v>16</v>
      </c>
      <c r="C211" t="s">
        <v>58</v>
      </c>
      <c r="D211" t="s">
        <v>30</v>
      </c>
      <c r="E211" s="9">
        <v>0</v>
      </c>
    </row>
    <row r="212" spans="1:9" x14ac:dyDescent="0.35">
      <c r="A212" s="8"/>
      <c r="B212" t="s">
        <v>16</v>
      </c>
      <c r="C212" t="s">
        <v>60</v>
      </c>
      <c r="D212" t="s">
        <v>30</v>
      </c>
      <c r="E212" s="9">
        <v>0</v>
      </c>
    </row>
    <row r="213" spans="1:9" x14ac:dyDescent="0.35">
      <c r="A213" s="8"/>
      <c r="B213" t="s">
        <v>16</v>
      </c>
      <c r="C213" t="s">
        <v>61</v>
      </c>
      <c r="D213" t="s">
        <v>59</v>
      </c>
      <c r="E213" s="9">
        <v>1</v>
      </c>
    </row>
    <row r="214" spans="1:9" x14ac:dyDescent="0.35">
      <c r="A214" s="8"/>
      <c r="B214" t="s">
        <v>16</v>
      </c>
      <c r="C214" t="s">
        <v>62</v>
      </c>
      <c r="D214" t="s">
        <v>23</v>
      </c>
      <c r="E214" s="9">
        <v>0.83299999999999996</v>
      </c>
    </row>
    <row r="215" spans="1:9" x14ac:dyDescent="0.35">
      <c r="A215" s="8"/>
      <c r="B215" t="s">
        <v>16</v>
      </c>
      <c r="C215" t="s">
        <v>64</v>
      </c>
      <c r="D215" t="s">
        <v>30</v>
      </c>
      <c r="E215" s="9">
        <v>0</v>
      </c>
    </row>
    <row r="216" spans="1:9" x14ac:dyDescent="0.35">
      <c r="A216" s="11"/>
    </row>
    <row r="217" spans="1:9" x14ac:dyDescent="0.35">
      <c r="A217" s="10"/>
    </row>
    <row r="218" spans="1:9" x14ac:dyDescent="0.35">
      <c r="A218" s="11"/>
    </row>
    <row r="219" spans="1:9" x14ac:dyDescent="0.35">
      <c r="A219" s="11"/>
    </row>
    <row r="220" spans="1:9" x14ac:dyDescent="0.35">
      <c r="A220" s="11"/>
    </row>
    <row r="221" spans="1:9" x14ac:dyDescent="0.35">
      <c r="A221" s="7"/>
      <c r="B221" t="s">
        <v>12</v>
      </c>
      <c r="C221" t="s">
        <v>13</v>
      </c>
      <c r="D221" t="s">
        <v>14</v>
      </c>
      <c r="E221" t="s">
        <v>15</v>
      </c>
      <c r="F221" t="s">
        <v>56</v>
      </c>
      <c r="G221" t="s">
        <v>33</v>
      </c>
      <c r="H221" t="s">
        <v>124</v>
      </c>
      <c r="I221" s="9">
        <v>0.35099999999999998</v>
      </c>
    </row>
    <row r="222" spans="1:9" x14ac:dyDescent="0.35">
      <c r="A222" s="8"/>
      <c r="B222" t="s">
        <v>16</v>
      </c>
      <c r="C222" t="s">
        <v>38</v>
      </c>
      <c r="D222" t="s">
        <v>27</v>
      </c>
      <c r="E222" s="9">
        <v>0.5</v>
      </c>
    </row>
    <row r="223" spans="1:9" x14ac:dyDescent="0.35">
      <c r="A223" s="8"/>
      <c r="B223" t="s">
        <v>16</v>
      </c>
      <c r="C223" t="s">
        <v>35</v>
      </c>
      <c r="D223" t="s">
        <v>125</v>
      </c>
      <c r="E223" s="9">
        <v>7.0999999999999994E-2</v>
      </c>
    </row>
    <row r="224" spans="1:9" x14ac:dyDescent="0.35">
      <c r="A224" s="8"/>
      <c r="B224" t="s">
        <v>16</v>
      </c>
      <c r="C224" t="s">
        <v>41</v>
      </c>
      <c r="D224" t="s">
        <v>126</v>
      </c>
      <c r="E224" s="9">
        <v>0.29199999999999998</v>
      </c>
    </row>
    <row r="225" spans="1:5" x14ac:dyDescent="0.35">
      <c r="A225" s="8"/>
      <c r="B225" t="s">
        <v>16</v>
      </c>
      <c r="C225" t="s">
        <v>43</v>
      </c>
      <c r="D225" t="s">
        <v>30</v>
      </c>
      <c r="E225" s="9">
        <v>0</v>
      </c>
    </row>
    <row r="226" spans="1:5" x14ac:dyDescent="0.35">
      <c r="A226" s="8"/>
      <c r="B226" t="s">
        <v>16</v>
      </c>
      <c r="C226" t="s">
        <v>45</v>
      </c>
      <c r="D226" t="s">
        <v>30</v>
      </c>
      <c r="E226" s="9">
        <v>0</v>
      </c>
    </row>
    <row r="227" spans="1:5" x14ac:dyDescent="0.35">
      <c r="A227" s="8"/>
      <c r="B227" t="s">
        <v>16</v>
      </c>
      <c r="C227" t="s">
        <v>47</v>
      </c>
      <c r="D227" t="s">
        <v>127</v>
      </c>
      <c r="E227" s="9">
        <v>0.35099999999999998</v>
      </c>
    </row>
    <row r="228" spans="1:5" x14ac:dyDescent="0.35">
      <c r="A228" s="8"/>
      <c r="B228" t="s">
        <v>16</v>
      </c>
      <c r="C228" t="s">
        <v>49</v>
      </c>
      <c r="D228" t="s">
        <v>128</v>
      </c>
      <c r="E228" s="9">
        <v>1</v>
      </c>
    </row>
    <row r="229" spans="1:5" x14ac:dyDescent="0.35">
      <c r="A229" s="8"/>
      <c r="B229" t="s">
        <v>16</v>
      </c>
      <c r="C229" t="s">
        <v>51</v>
      </c>
      <c r="D229" t="s">
        <v>31</v>
      </c>
      <c r="E229" s="9">
        <v>0</v>
      </c>
    </row>
    <row r="230" spans="1:5" x14ac:dyDescent="0.35">
      <c r="A230" s="8"/>
      <c r="B230" t="s">
        <v>16</v>
      </c>
      <c r="C230" t="s">
        <v>52</v>
      </c>
      <c r="D230" t="s">
        <v>30</v>
      </c>
      <c r="E230" s="9">
        <v>0</v>
      </c>
    </row>
    <row r="231" spans="1:5" x14ac:dyDescent="0.35">
      <c r="A231" s="8"/>
      <c r="B231" t="s">
        <v>16</v>
      </c>
      <c r="C231" t="s">
        <v>54</v>
      </c>
      <c r="D231" t="s">
        <v>83</v>
      </c>
      <c r="E231" s="9">
        <v>0.66700000000000004</v>
      </c>
    </row>
    <row r="232" spans="1:5" x14ac:dyDescent="0.35">
      <c r="A232" s="8"/>
      <c r="B232" t="s">
        <v>16</v>
      </c>
      <c r="C232" t="s">
        <v>56</v>
      </c>
      <c r="D232" t="s">
        <v>30</v>
      </c>
      <c r="E232" s="9">
        <v>0</v>
      </c>
    </row>
    <row r="233" spans="1:5" x14ac:dyDescent="0.35">
      <c r="A233" s="8"/>
      <c r="B233" t="s">
        <v>16</v>
      </c>
      <c r="C233" t="s">
        <v>58</v>
      </c>
      <c r="D233" t="s">
        <v>30</v>
      </c>
      <c r="E233" s="9">
        <v>0</v>
      </c>
    </row>
    <row r="234" spans="1:5" x14ac:dyDescent="0.35">
      <c r="A234" s="8"/>
      <c r="B234" t="s">
        <v>16</v>
      </c>
      <c r="C234" t="s">
        <v>60</v>
      </c>
      <c r="D234" t="s">
        <v>30</v>
      </c>
      <c r="E234" s="9">
        <v>0</v>
      </c>
    </row>
    <row r="235" spans="1:5" x14ac:dyDescent="0.35">
      <c r="A235" s="8"/>
      <c r="B235" t="s">
        <v>16</v>
      </c>
      <c r="C235" t="s">
        <v>61</v>
      </c>
      <c r="D235" t="s">
        <v>129</v>
      </c>
      <c r="E235" s="9">
        <v>1</v>
      </c>
    </row>
    <row r="236" spans="1:5" x14ac:dyDescent="0.35">
      <c r="A236" s="8"/>
      <c r="B236" t="s">
        <v>16</v>
      </c>
      <c r="C236" t="s">
        <v>62</v>
      </c>
      <c r="D236" t="s">
        <v>30</v>
      </c>
      <c r="E236" s="9">
        <v>0</v>
      </c>
    </row>
    <row r="237" spans="1:5" x14ac:dyDescent="0.35">
      <c r="A237" s="8"/>
      <c r="B237" t="s">
        <v>16</v>
      </c>
      <c r="C237" t="s">
        <v>64</v>
      </c>
      <c r="D237" t="s">
        <v>30</v>
      </c>
      <c r="E237" s="9">
        <v>0</v>
      </c>
    </row>
    <row r="238" spans="1:5" x14ac:dyDescent="0.35">
      <c r="A238" s="11"/>
    </row>
    <row r="239" spans="1:5" x14ac:dyDescent="0.35">
      <c r="A239" s="10"/>
    </row>
    <row r="240" spans="1:5" x14ac:dyDescent="0.35">
      <c r="A240" s="11"/>
    </row>
    <row r="241" spans="1:9" x14ac:dyDescent="0.35">
      <c r="A241" s="11"/>
    </row>
    <row r="242" spans="1:9" x14ac:dyDescent="0.35">
      <c r="A242" s="11"/>
    </row>
    <row r="243" spans="1:9" x14ac:dyDescent="0.35">
      <c r="A243" s="7"/>
      <c r="B243" t="s">
        <v>12</v>
      </c>
      <c r="C243" t="s">
        <v>13</v>
      </c>
      <c r="D243" t="s">
        <v>14</v>
      </c>
      <c r="E243" t="s">
        <v>15</v>
      </c>
      <c r="F243" t="s">
        <v>58</v>
      </c>
      <c r="G243" t="s">
        <v>33</v>
      </c>
      <c r="H243" t="s">
        <v>130</v>
      </c>
      <c r="I243" s="9">
        <v>0.32100000000000001</v>
      </c>
    </row>
    <row r="244" spans="1:9" x14ac:dyDescent="0.35">
      <c r="A244" s="8"/>
      <c r="B244" t="s">
        <v>16</v>
      </c>
      <c r="C244" t="s">
        <v>38</v>
      </c>
      <c r="D244" t="s">
        <v>131</v>
      </c>
      <c r="E244" s="9">
        <v>0</v>
      </c>
    </row>
    <row r="245" spans="1:9" x14ac:dyDescent="0.35">
      <c r="A245" s="8"/>
      <c r="B245" t="s">
        <v>16</v>
      </c>
      <c r="C245" t="s">
        <v>35</v>
      </c>
      <c r="D245" t="s">
        <v>31</v>
      </c>
      <c r="E245" s="9">
        <v>0</v>
      </c>
    </row>
    <row r="246" spans="1:9" x14ac:dyDescent="0.35">
      <c r="A246" s="8"/>
      <c r="B246" t="s">
        <v>16</v>
      </c>
      <c r="C246" t="s">
        <v>41</v>
      </c>
      <c r="D246" t="s">
        <v>30</v>
      </c>
      <c r="E246" s="9">
        <v>0</v>
      </c>
    </row>
    <row r="247" spans="1:9" x14ac:dyDescent="0.35">
      <c r="A247" s="8"/>
      <c r="B247" t="s">
        <v>16</v>
      </c>
      <c r="C247" t="s">
        <v>43</v>
      </c>
      <c r="D247" t="s">
        <v>132</v>
      </c>
      <c r="E247" s="9">
        <v>0.316</v>
      </c>
    </row>
    <row r="248" spans="1:9" x14ac:dyDescent="0.35">
      <c r="A248" s="8"/>
      <c r="B248" t="s">
        <v>16</v>
      </c>
      <c r="C248" t="s">
        <v>45</v>
      </c>
      <c r="D248" t="s">
        <v>133</v>
      </c>
      <c r="E248" s="9">
        <v>0.33100000000000002</v>
      </c>
    </row>
    <row r="249" spans="1:9" x14ac:dyDescent="0.35">
      <c r="A249" s="8"/>
      <c r="B249" t="s">
        <v>16</v>
      </c>
      <c r="C249" t="s">
        <v>47</v>
      </c>
      <c r="D249" t="s">
        <v>30</v>
      </c>
      <c r="E249" s="9">
        <v>0</v>
      </c>
    </row>
    <row r="250" spans="1:9" x14ac:dyDescent="0.35">
      <c r="A250" s="8"/>
      <c r="B250" t="s">
        <v>16</v>
      </c>
      <c r="C250" t="s">
        <v>49</v>
      </c>
      <c r="D250" t="s">
        <v>30</v>
      </c>
      <c r="E250" s="9">
        <v>0</v>
      </c>
    </row>
    <row r="251" spans="1:9" x14ac:dyDescent="0.35">
      <c r="A251" s="8"/>
      <c r="B251" t="s">
        <v>16</v>
      </c>
      <c r="C251" t="s">
        <v>51</v>
      </c>
      <c r="D251" t="s">
        <v>59</v>
      </c>
      <c r="E251" s="9">
        <v>1</v>
      </c>
    </row>
    <row r="252" spans="1:9" x14ac:dyDescent="0.35">
      <c r="A252" s="8"/>
      <c r="B252" t="s">
        <v>16</v>
      </c>
      <c r="C252" t="s">
        <v>52</v>
      </c>
      <c r="D252" t="s">
        <v>30</v>
      </c>
      <c r="E252" s="9">
        <v>0</v>
      </c>
    </row>
    <row r="253" spans="1:9" x14ac:dyDescent="0.35">
      <c r="A253" s="8"/>
      <c r="B253" t="s">
        <v>16</v>
      </c>
      <c r="C253" t="s">
        <v>54</v>
      </c>
      <c r="D253" t="s">
        <v>30</v>
      </c>
      <c r="E253" s="9">
        <v>0</v>
      </c>
    </row>
    <row r="254" spans="1:9" x14ac:dyDescent="0.35">
      <c r="A254" s="8"/>
      <c r="B254" t="s">
        <v>16</v>
      </c>
      <c r="C254" t="s">
        <v>56</v>
      </c>
      <c r="D254" t="s">
        <v>30</v>
      </c>
      <c r="E254" s="9">
        <v>0</v>
      </c>
    </row>
    <row r="255" spans="1:9" x14ac:dyDescent="0.35">
      <c r="A255" s="8"/>
      <c r="B255" t="s">
        <v>16</v>
      </c>
      <c r="C255" t="s">
        <v>58</v>
      </c>
      <c r="D255" t="s">
        <v>30</v>
      </c>
      <c r="E255" s="9">
        <v>0</v>
      </c>
    </row>
    <row r="256" spans="1:9" x14ac:dyDescent="0.35">
      <c r="A256" s="8"/>
      <c r="B256" t="s">
        <v>16</v>
      </c>
      <c r="C256" t="s">
        <v>60</v>
      </c>
      <c r="D256" t="s">
        <v>134</v>
      </c>
      <c r="E256" s="9">
        <v>0.72699999999999998</v>
      </c>
    </row>
    <row r="257" spans="1:9" x14ac:dyDescent="0.35">
      <c r="A257" s="8"/>
      <c r="B257" t="s">
        <v>16</v>
      </c>
      <c r="C257" t="s">
        <v>61</v>
      </c>
      <c r="D257" t="s">
        <v>30</v>
      </c>
      <c r="E257" s="9">
        <v>0</v>
      </c>
    </row>
    <row r="258" spans="1:9" x14ac:dyDescent="0.35">
      <c r="A258" s="8"/>
      <c r="B258" t="s">
        <v>16</v>
      </c>
      <c r="C258" t="s">
        <v>62</v>
      </c>
      <c r="D258" t="s">
        <v>30</v>
      </c>
      <c r="E258" s="9">
        <v>0</v>
      </c>
    </row>
    <row r="259" spans="1:9" x14ac:dyDescent="0.35">
      <c r="A259" s="8"/>
      <c r="B259" t="s">
        <v>16</v>
      </c>
      <c r="C259" t="s">
        <v>64</v>
      </c>
      <c r="D259" t="s">
        <v>30</v>
      </c>
      <c r="E259" s="9">
        <v>0</v>
      </c>
    </row>
    <row r="260" spans="1:9" x14ac:dyDescent="0.35">
      <c r="A260" s="11"/>
    </row>
    <row r="261" spans="1:9" x14ac:dyDescent="0.35">
      <c r="A261" s="10"/>
    </row>
    <row r="262" spans="1:9" x14ac:dyDescent="0.35">
      <c r="A262" s="11"/>
    </row>
    <row r="263" spans="1:9" x14ac:dyDescent="0.35">
      <c r="A263" s="11"/>
    </row>
    <row r="264" spans="1:9" x14ac:dyDescent="0.35">
      <c r="A264" s="11"/>
    </row>
    <row r="265" spans="1:9" x14ac:dyDescent="0.35">
      <c r="A265" s="7"/>
      <c r="B265" t="s">
        <v>12</v>
      </c>
      <c r="C265" t="s">
        <v>13</v>
      </c>
      <c r="D265" t="s">
        <v>14</v>
      </c>
      <c r="E265" t="s">
        <v>15</v>
      </c>
      <c r="F265" t="s">
        <v>60</v>
      </c>
      <c r="G265" t="s">
        <v>33</v>
      </c>
      <c r="H265" t="s">
        <v>135</v>
      </c>
      <c r="I265" s="9">
        <v>0.19500000000000001</v>
      </c>
    </row>
    <row r="266" spans="1:9" x14ac:dyDescent="0.35">
      <c r="A266" s="8"/>
      <c r="B266" t="s">
        <v>16</v>
      </c>
      <c r="C266" t="s">
        <v>38</v>
      </c>
      <c r="D266" t="s">
        <v>136</v>
      </c>
      <c r="E266" s="9">
        <v>0</v>
      </c>
    </row>
    <row r="267" spans="1:9" x14ac:dyDescent="0.35">
      <c r="A267" s="8"/>
      <c r="B267" t="s">
        <v>16</v>
      </c>
      <c r="C267" t="s">
        <v>35</v>
      </c>
      <c r="D267" t="s">
        <v>30</v>
      </c>
      <c r="E267" s="9">
        <v>0</v>
      </c>
    </row>
    <row r="268" spans="1:9" x14ac:dyDescent="0.35">
      <c r="A268" s="8"/>
      <c r="B268" t="s">
        <v>16</v>
      </c>
      <c r="C268" t="s">
        <v>41</v>
      </c>
      <c r="D268" t="s">
        <v>30</v>
      </c>
      <c r="E268" s="9">
        <v>0</v>
      </c>
    </row>
    <row r="269" spans="1:9" x14ac:dyDescent="0.35">
      <c r="A269" s="8"/>
      <c r="B269" t="s">
        <v>16</v>
      </c>
      <c r="C269" t="s">
        <v>43</v>
      </c>
      <c r="D269" t="s">
        <v>137</v>
      </c>
      <c r="E269" s="9">
        <v>0.19700000000000001</v>
      </c>
    </row>
    <row r="270" spans="1:9" x14ac:dyDescent="0.35">
      <c r="A270" s="8"/>
      <c r="B270" t="s">
        <v>16</v>
      </c>
      <c r="C270" t="s">
        <v>45</v>
      </c>
      <c r="D270" t="s">
        <v>138</v>
      </c>
      <c r="E270" s="9">
        <v>0.2</v>
      </c>
    </row>
    <row r="271" spans="1:9" x14ac:dyDescent="0.35">
      <c r="A271" s="8"/>
      <c r="B271" t="s">
        <v>16</v>
      </c>
      <c r="C271" t="s">
        <v>47</v>
      </c>
      <c r="D271" t="s">
        <v>30</v>
      </c>
      <c r="E271" s="9">
        <v>0</v>
      </c>
    </row>
    <row r="272" spans="1:9" x14ac:dyDescent="0.35">
      <c r="A272" s="8"/>
      <c r="B272" t="s">
        <v>16</v>
      </c>
      <c r="C272" t="s">
        <v>49</v>
      </c>
      <c r="D272" t="s">
        <v>30</v>
      </c>
      <c r="E272" s="9">
        <v>0</v>
      </c>
    </row>
    <row r="273" spans="1:9" x14ac:dyDescent="0.35">
      <c r="A273" s="8"/>
      <c r="B273" t="s">
        <v>16</v>
      </c>
      <c r="C273" t="s">
        <v>51</v>
      </c>
      <c r="D273" t="s">
        <v>31</v>
      </c>
      <c r="E273" s="9">
        <v>0</v>
      </c>
    </row>
    <row r="274" spans="1:9" x14ac:dyDescent="0.35">
      <c r="A274" s="8"/>
      <c r="B274" t="s">
        <v>16</v>
      </c>
      <c r="C274" t="s">
        <v>52</v>
      </c>
      <c r="D274" t="s">
        <v>31</v>
      </c>
      <c r="E274" s="9">
        <v>0</v>
      </c>
    </row>
    <row r="275" spans="1:9" x14ac:dyDescent="0.35">
      <c r="A275" s="8"/>
      <c r="B275" t="s">
        <v>16</v>
      </c>
      <c r="C275" t="s">
        <v>54</v>
      </c>
      <c r="D275" t="s">
        <v>30</v>
      </c>
      <c r="E275" s="9">
        <v>0</v>
      </c>
    </row>
    <row r="276" spans="1:9" x14ac:dyDescent="0.35">
      <c r="A276" s="8"/>
      <c r="B276" t="s">
        <v>16</v>
      </c>
      <c r="C276" t="s">
        <v>56</v>
      </c>
      <c r="D276" t="s">
        <v>30</v>
      </c>
      <c r="E276" s="9">
        <v>0</v>
      </c>
    </row>
    <row r="277" spans="1:9" x14ac:dyDescent="0.35">
      <c r="A277" s="8"/>
      <c r="B277" t="s">
        <v>16</v>
      </c>
      <c r="C277" t="s">
        <v>58</v>
      </c>
      <c r="D277" t="s">
        <v>139</v>
      </c>
      <c r="E277" s="9">
        <v>0.27300000000000002</v>
      </c>
    </row>
    <row r="278" spans="1:9" x14ac:dyDescent="0.35">
      <c r="A278" s="8"/>
      <c r="B278" t="s">
        <v>16</v>
      </c>
      <c r="C278" t="s">
        <v>60</v>
      </c>
      <c r="D278" t="s">
        <v>30</v>
      </c>
      <c r="E278" s="9">
        <v>0</v>
      </c>
    </row>
    <row r="279" spans="1:9" x14ac:dyDescent="0.35">
      <c r="A279" s="8"/>
      <c r="B279" t="s">
        <v>16</v>
      </c>
      <c r="C279" t="s">
        <v>61</v>
      </c>
      <c r="D279" t="s">
        <v>30</v>
      </c>
      <c r="E279" s="9">
        <v>0</v>
      </c>
    </row>
    <row r="280" spans="1:9" x14ac:dyDescent="0.35">
      <c r="A280" s="8"/>
      <c r="B280" t="s">
        <v>16</v>
      </c>
      <c r="C280" t="s">
        <v>62</v>
      </c>
      <c r="D280" t="s">
        <v>30</v>
      </c>
      <c r="E280" s="9">
        <v>0</v>
      </c>
    </row>
    <row r="281" spans="1:9" x14ac:dyDescent="0.35">
      <c r="A281" s="8"/>
      <c r="B281" t="s">
        <v>16</v>
      </c>
      <c r="C281" t="s">
        <v>64</v>
      </c>
      <c r="D281" t="s">
        <v>30</v>
      </c>
      <c r="E281" s="9">
        <v>0</v>
      </c>
    </row>
    <row r="282" spans="1:9" x14ac:dyDescent="0.35">
      <c r="A282" s="11"/>
    </row>
    <row r="283" spans="1:9" x14ac:dyDescent="0.35">
      <c r="A283" s="10"/>
    </row>
    <row r="284" spans="1:9" x14ac:dyDescent="0.35">
      <c r="A284" s="11"/>
    </row>
    <row r="285" spans="1:9" x14ac:dyDescent="0.35">
      <c r="A285" s="11"/>
    </row>
    <row r="286" spans="1:9" x14ac:dyDescent="0.35">
      <c r="A286" s="11"/>
    </row>
    <row r="287" spans="1:9" x14ac:dyDescent="0.35">
      <c r="A287" s="7"/>
      <c r="B287" t="s">
        <v>12</v>
      </c>
      <c r="C287" t="s">
        <v>13</v>
      </c>
      <c r="D287" t="s">
        <v>14</v>
      </c>
      <c r="E287" t="s">
        <v>15</v>
      </c>
      <c r="F287" t="s">
        <v>61</v>
      </c>
      <c r="G287" t="s">
        <v>33</v>
      </c>
      <c r="H287" t="s">
        <v>140</v>
      </c>
      <c r="I287" s="9">
        <v>0.152</v>
      </c>
    </row>
    <row r="288" spans="1:9" x14ac:dyDescent="0.35">
      <c r="A288" s="8"/>
      <c r="B288" t="s">
        <v>16</v>
      </c>
      <c r="C288" t="s">
        <v>38</v>
      </c>
      <c r="D288" t="s">
        <v>30</v>
      </c>
      <c r="E288" s="9">
        <v>0</v>
      </c>
    </row>
    <row r="289" spans="1:5" x14ac:dyDescent="0.35">
      <c r="A289" s="8"/>
      <c r="B289" t="s">
        <v>16</v>
      </c>
      <c r="C289" t="s">
        <v>35</v>
      </c>
      <c r="D289" t="s">
        <v>30</v>
      </c>
      <c r="E289" s="9">
        <v>0</v>
      </c>
    </row>
    <row r="290" spans="1:5" x14ac:dyDescent="0.35">
      <c r="A290" s="8"/>
      <c r="B290" t="s">
        <v>16</v>
      </c>
      <c r="C290" t="s">
        <v>41</v>
      </c>
      <c r="D290" t="s">
        <v>141</v>
      </c>
      <c r="E290" s="9">
        <v>0.16400000000000001</v>
      </c>
    </row>
    <row r="291" spans="1:5" x14ac:dyDescent="0.35">
      <c r="A291" s="8"/>
      <c r="B291" t="s">
        <v>16</v>
      </c>
      <c r="C291" t="s">
        <v>43</v>
      </c>
      <c r="D291" t="s">
        <v>30</v>
      </c>
      <c r="E291" s="9">
        <v>0</v>
      </c>
    </row>
    <row r="292" spans="1:5" x14ac:dyDescent="0.35">
      <c r="A292" s="8"/>
      <c r="B292" t="s">
        <v>16</v>
      </c>
      <c r="C292" t="s">
        <v>45</v>
      </c>
      <c r="D292" t="s">
        <v>30</v>
      </c>
      <c r="E292" s="9">
        <v>0</v>
      </c>
    </row>
    <row r="293" spans="1:5" x14ac:dyDescent="0.35">
      <c r="A293" s="8"/>
      <c r="B293" t="s">
        <v>16</v>
      </c>
      <c r="C293" t="s">
        <v>47</v>
      </c>
      <c r="D293" t="s">
        <v>142</v>
      </c>
      <c r="E293" s="9">
        <v>0.125</v>
      </c>
    </row>
    <row r="294" spans="1:5" x14ac:dyDescent="0.35">
      <c r="A294" s="8"/>
      <c r="B294" t="s">
        <v>16</v>
      </c>
      <c r="C294" t="s">
        <v>49</v>
      </c>
      <c r="D294" t="s">
        <v>31</v>
      </c>
      <c r="E294" s="9">
        <v>0</v>
      </c>
    </row>
    <row r="295" spans="1:5" x14ac:dyDescent="0.35">
      <c r="A295" s="8"/>
      <c r="B295" t="s">
        <v>16</v>
      </c>
      <c r="C295" t="s">
        <v>51</v>
      </c>
      <c r="D295" t="s">
        <v>30</v>
      </c>
      <c r="E295" s="9">
        <v>0</v>
      </c>
    </row>
    <row r="296" spans="1:5" x14ac:dyDescent="0.35">
      <c r="A296" s="8"/>
      <c r="B296" t="s">
        <v>16</v>
      </c>
      <c r="C296" t="s">
        <v>52</v>
      </c>
      <c r="D296" t="s">
        <v>30</v>
      </c>
      <c r="E296" s="9">
        <v>0</v>
      </c>
    </row>
    <row r="297" spans="1:5" x14ac:dyDescent="0.35">
      <c r="A297" s="8"/>
      <c r="B297" t="s">
        <v>16</v>
      </c>
      <c r="C297" t="s">
        <v>54</v>
      </c>
      <c r="D297" t="s">
        <v>31</v>
      </c>
      <c r="E297" s="9">
        <v>0</v>
      </c>
    </row>
    <row r="298" spans="1:5" x14ac:dyDescent="0.35">
      <c r="A298" s="8"/>
      <c r="B298" t="s">
        <v>16</v>
      </c>
      <c r="C298" t="s">
        <v>56</v>
      </c>
      <c r="D298" t="s">
        <v>143</v>
      </c>
      <c r="E298" s="9">
        <v>0</v>
      </c>
    </row>
    <row r="299" spans="1:5" x14ac:dyDescent="0.35">
      <c r="A299" s="8"/>
      <c r="B299" t="s">
        <v>16</v>
      </c>
      <c r="C299" t="s">
        <v>58</v>
      </c>
      <c r="D299" t="s">
        <v>30</v>
      </c>
      <c r="E299" s="9">
        <v>0</v>
      </c>
    </row>
    <row r="300" spans="1:5" x14ac:dyDescent="0.35">
      <c r="A300" s="8"/>
      <c r="B300" t="s">
        <v>16</v>
      </c>
      <c r="C300" t="s">
        <v>60</v>
      </c>
      <c r="D300" t="s">
        <v>30</v>
      </c>
      <c r="E300" s="9">
        <v>0</v>
      </c>
    </row>
    <row r="301" spans="1:5" x14ac:dyDescent="0.35">
      <c r="A301" s="8"/>
      <c r="B301" t="s">
        <v>16</v>
      </c>
      <c r="C301" t="s">
        <v>61</v>
      </c>
      <c r="D301" t="s">
        <v>30</v>
      </c>
      <c r="E301" s="9">
        <v>0</v>
      </c>
    </row>
    <row r="302" spans="1:5" x14ac:dyDescent="0.35">
      <c r="A302" s="8"/>
      <c r="B302" t="s">
        <v>16</v>
      </c>
      <c r="C302" t="s">
        <v>62</v>
      </c>
      <c r="D302" t="s">
        <v>30</v>
      </c>
      <c r="E302" s="9">
        <v>0</v>
      </c>
    </row>
    <row r="303" spans="1:5" x14ac:dyDescent="0.35">
      <c r="A303" s="8"/>
      <c r="B303" t="s">
        <v>16</v>
      </c>
      <c r="C303" t="s">
        <v>64</v>
      </c>
      <c r="D303" t="s">
        <v>30</v>
      </c>
      <c r="E303" s="9">
        <v>0</v>
      </c>
    </row>
    <row r="304" spans="1:5" x14ac:dyDescent="0.35">
      <c r="A304" s="11"/>
    </row>
    <row r="305" spans="1:9" x14ac:dyDescent="0.35">
      <c r="A305" s="10"/>
    </row>
    <row r="306" spans="1:9" x14ac:dyDescent="0.35">
      <c r="A306" s="11"/>
    </row>
    <row r="307" spans="1:9" x14ac:dyDescent="0.35">
      <c r="A307" s="11"/>
    </row>
    <row r="308" spans="1:9" x14ac:dyDescent="0.35">
      <c r="A308" s="11"/>
    </row>
    <row r="309" spans="1:9" x14ac:dyDescent="0.35">
      <c r="A309" s="7"/>
      <c r="B309" t="s">
        <v>12</v>
      </c>
      <c r="C309" t="s">
        <v>13</v>
      </c>
      <c r="D309" t="s">
        <v>14</v>
      </c>
      <c r="E309" t="s">
        <v>15</v>
      </c>
      <c r="F309" t="s">
        <v>62</v>
      </c>
      <c r="G309" t="s">
        <v>33</v>
      </c>
      <c r="H309" t="s">
        <v>144</v>
      </c>
      <c r="I309" s="9">
        <v>9.1999999999999998E-2</v>
      </c>
    </row>
    <row r="310" spans="1:9" x14ac:dyDescent="0.35">
      <c r="A310" s="8"/>
      <c r="B310" t="s">
        <v>16</v>
      </c>
      <c r="C310" t="s">
        <v>38</v>
      </c>
      <c r="D310" t="s">
        <v>59</v>
      </c>
      <c r="E310" s="9">
        <v>1</v>
      </c>
    </row>
    <row r="311" spans="1:9" x14ac:dyDescent="0.35">
      <c r="A311" s="8"/>
      <c r="B311" t="s">
        <v>16</v>
      </c>
      <c r="C311" t="s">
        <v>35</v>
      </c>
      <c r="D311" t="s">
        <v>145</v>
      </c>
      <c r="E311" s="9">
        <v>7.0000000000000007E-2</v>
      </c>
    </row>
    <row r="312" spans="1:9" x14ac:dyDescent="0.35">
      <c r="A312" s="8"/>
      <c r="B312" t="s">
        <v>16</v>
      </c>
      <c r="C312" t="s">
        <v>41</v>
      </c>
      <c r="D312" t="s">
        <v>53</v>
      </c>
      <c r="E312" s="9">
        <v>0.5</v>
      </c>
    </row>
    <row r="313" spans="1:9" x14ac:dyDescent="0.35">
      <c r="A313" s="8"/>
      <c r="B313" t="s">
        <v>16</v>
      </c>
      <c r="C313" t="s">
        <v>43</v>
      </c>
      <c r="D313" t="s">
        <v>30</v>
      </c>
      <c r="E313" s="9">
        <v>0</v>
      </c>
    </row>
    <row r="314" spans="1:9" x14ac:dyDescent="0.35">
      <c r="A314" s="8"/>
      <c r="B314" t="s">
        <v>16</v>
      </c>
      <c r="C314" t="s">
        <v>45</v>
      </c>
      <c r="D314" t="s">
        <v>30</v>
      </c>
      <c r="E314" s="9">
        <v>0</v>
      </c>
    </row>
    <row r="315" spans="1:9" x14ac:dyDescent="0.35">
      <c r="A315" s="8"/>
      <c r="B315" t="s">
        <v>16</v>
      </c>
      <c r="C315" t="s">
        <v>47</v>
      </c>
      <c r="D315" t="s">
        <v>30</v>
      </c>
      <c r="E315" s="9">
        <v>0</v>
      </c>
    </row>
    <row r="316" spans="1:9" x14ac:dyDescent="0.35">
      <c r="A316" s="8"/>
      <c r="B316" t="s">
        <v>16</v>
      </c>
      <c r="C316" t="s">
        <v>49</v>
      </c>
      <c r="D316" t="s">
        <v>91</v>
      </c>
      <c r="E316" s="9">
        <v>0.33300000000000002</v>
      </c>
    </row>
    <row r="317" spans="1:9" x14ac:dyDescent="0.35">
      <c r="A317" s="8"/>
      <c r="B317" t="s">
        <v>16</v>
      </c>
      <c r="C317" t="s">
        <v>51</v>
      </c>
      <c r="D317" t="s">
        <v>30</v>
      </c>
      <c r="E317" s="9">
        <v>0</v>
      </c>
    </row>
    <row r="318" spans="1:9" x14ac:dyDescent="0.35">
      <c r="A318" s="8"/>
      <c r="B318" t="s">
        <v>16</v>
      </c>
      <c r="C318" t="s">
        <v>52</v>
      </c>
      <c r="D318" t="s">
        <v>30</v>
      </c>
      <c r="E318" s="9">
        <v>0</v>
      </c>
    </row>
    <row r="319" spans="1:9" x14ac:dyDescent="0.35">
      <c r="A319" s="8"/>
      <c r="B319" t="s">
        <v>16</v>
      </c>
      <c r="C319" t="s">
        <v>54</v>
      </c>
      <c r="D319" t="s">
        <v>103</v>
      </c>
      <c r="E319" s="9">
        <v>0.16700000000000001</v>
      </c>
    </row>
    <row r="320" spans="1:9" x14ac:dyDescent="0.35">
      <c r="A320" s="8"/>
      <c r="B320" t="s">
        <v>16</v>
      </c>
      <c r="C320" t="s">
        <v>56</v>
      </c>
      <c r="D320" t="s">
        <v>30</v>
      </c>
      <c r="E320" s="9">
        <v>0</v>
      </c>
    </row>
    <row r="321" spans="1:9" x14ac:dyDescent="0.35">
      <c r="A321" s="8"/>
      <c r="B321" t="s">
        <v>16</v>
      </c>
      <c r="C321" t="s">
        <v>58</v>
      </c>
      <c r="D321" t="s">
        <v>30</v>
      </c>
      <c r="E321" s="9">
        <v>0</v>
      </c>
    </row>
    <row r="322" spans="1:9" x14ac:dyDescent="0.35">
      <c r="A322" s="8"/>
      <c r="B322" t="s">
        <v>16</v>
      </c>
      <c r="C322" t="s">
        <v>60</v>
      </c>
      <c r="D322" t="s">
        <v>30</v>
      </c>
      <c r="E322" s="9">
        <v>0</v>
      </c>
    </row>
    <row r="323" spans="1:9" x14ac:dyDescent="0.35">
      <c r="A323" s="8"/>
      <c r="B323" t="s">
        <v>16</v>
      </c>
      <c r="C323" t="s">
        <v>61</v>
      </c>
      <c r="D323" t="s">
        <v>30</v>
      </c>
      <c r="E323" s="9">
        <v>0</v>
      </c>
    </row>
    <row r="324" spans="1:9" x14ac:dyDescent="0.35">
      <c r="A324" s="8"/>
      <c r="B324" t="s">
        <v>16</v>
      </c>
      <c r="C324" t="s">
        <v>62</v>
      </c>
      <c r="D324" t="s">
        <v>30</v>
      </c>
      <c r="E324" s="9">
        <v>0</v>
      </c>
    </row>
    <row r="325" spans="1:9" x14ac:dyDescent="0.35">
      <c r="A325" s="8"/>
      <c r="B325" t="s">
        <v>16</v>
      </c>
      <c r="C325" t="s">
        <v>64</v>
      </c>
      <c r="D325" t="s">
        <v>30</v>
      </c>
      <c r="E325" s="9">
        <v>0</v>
      </c>
    </row>
    <row r="326" spans="1:9" x14ac:dyDescent="0.35">
      <c r="A326" s="11"/>
    </row>
    <row r="327" spans="1:9" x14ac:dyDescent="0.35">
      <c r="A327" s="10"/>
    </row>
    <row r="328" spans="1:9" x14ac:dyDescent="0.35">
      <c r="A328" s="11"/>
    </row>
    <row r="329" spans="1:9" x14ac:dyDescent="0.35">
      <c r="A329" s="11"/>
    </row>
    <row r="330" spans="1:9" x14ac:dyDescent="0.35">
      <c r="A330" s="11"/>
    </row>
    <row r="331" spans="1:9" x14ac:dyDescent="0.35">
      <c r="A331" s="7"/>
      <c r="B331" t="s">
        <v>12</v>
      </c>
      <c r="C331" t="s">
        <v>13</v>
      </c>
      <c r="D331" t="s">
        <v>14</v>
      </c>
      <c r="E331" t="s">
        <v>15</v>
      </c>
      <c r="F331" t="s">
        <v>64</v>
      </c>
      <c r="G331" t="s">
        <v>33</v>
      </c>
      <c r="H331" t="s">
        <v>146</v>
      </c>
      <c r="I331" s="9">
        <v>0</v>
      </c>
    </row>
    <row r="332" spans="1:9" x14ac:dyDescent="0.35">
      <c r="A332" s="8"/>
      <c r="B332" t="s">
        <v>16</v>
      </c>
      <c r="C332" t="s">
        <v>38</v>
      </c>
      <c r="D332" t="s">
        <v>146</v>
      </c>
      <c r="E332" s="9">
        <v>0</v>
      </c>
    </row>
    <row r="333" spans="1:9" x14ac:dyDescent="0.35">
      <c r="A333" s="8"/>
      <c r="B333" t="s">
        <v>16</v>
      </c>
      <c r="C333" t="s">
        <v>35</v>
      </c>
      <c r="D333" t="s">
        <v>30</v>
      </c>
      <c r="E333" s="9">
        <v>0</v>
      </c>
    </row>
    <row r="334" spans="1:9" x14ac:dyDescent="0.35">
      <c r="A334" s="8"/>
      <c r="B334" t="s">
        <v>16</v>
      </c>
      <c r="C334" t="s">
        <v>41</v>
      </c>
      <c r="D334" t="s">
        <v>30</v>
      </c>
      <c r="E334" s="9">
        <v>0</v>
      </c>
    </row>
    <row r="335" spans="1:9" x14ac:dyDescent="0.35">
      <c r="A335" s="8"/>
      <c r="B335" t="s">
        <v>16</v>
      </c>
      <c r="C335" t="s">
        <v>43</v>
      </c>
      <c r="D335" t="s">
        <v>30</v>
      </c>
      <c r="E335" s="9">
        <v>0</v>
      </c>
    </row>
    <row r="336" spans="1:9" x14ac:dyDescent="0.35">
      <c r="A336" s="8"/>
      <c r="B336" t="s">
        <v>16</v>
      </c>
      <c r="C336" t="s">
        <v>45</v>
      </c>
      <c r="D336" t="s">
        <v>30</v>
      </c>
      <c r="E336" s="9">
        <v>0</v>
      </c>
    </row>
    <row r="337" spans="1:5" x14ac:dyDescent="0.35">
      <c r="A337" s="8"/>
      <c r="B337" t="s">
        <v>16</v>
      </c>
      <c r="C337" t="s">
        <v>47</v>
      </c>
      <c r="D337" t="s">
        <v>30</v>
      </c>
      <c r="E337" s="9">
        <v>0</v>
      </c>
    </row>
    <row r="338" spans="1:5" x14ac:dyDescent="0.35">
      <c r="A338" s="8"/>
      <c r="B338" t="s">
        <v>16</v>
      </c>
      <c r="C338" t="s">
        <v>49</v>
      </c>
      <c r="D338" t="s">
        <v>30</v>
      </c>
      <c r="E338" s="9">
        <v>0</v>
      </c>
    </row>
    <row r="339" spans="1:5" x14ac:dyDescent="0.35">
      <c r="A339" s="8"/>
      <c r="B339" t="s">
        <v>16</v>
      </c>
      <c r="C339" t="s">
        <v>51</v>
      </c>
      <c r="D339" t="s">
        <v>30</v>
      </c>
      <c r="E339" s="9">
        <v>0</v>
      </c>
    </row>
    <row r="340" spans="1:5" x14ac:dyDescent="0.35">
      <c r="A340" s="8"/>
      <c r="B340" t="s">
        <v>16</v>
      </c>
      <c r="C340" t="s">
        <v>52</v>
      </c>
      <c r="D340" t="s">
        <v>30</v>
      </c>
      <c r="E340" s="9">
        <v>0</v>
      </c>
    </row>
    <row r="341" spans="1:5" x14ac:dyDescent="0.35">
      <c r="A341" s="8"/>
      <c r="B341" t="s">
        <v>16</v>
      </c>
      <c r="C341" t="s">
        <v>54</v>
      </c>
      <c r="D341" t="s">
        <v>30</v>
      </c>
      <c r="E341" s="9">
        <v>0</v>
      </c>
    </row>
    <row r="342" spans="1:5" x14ac:dyDescent="0.35">
      <c r="A342" s="8"/>
      <c r="B342" t="s">
        <v>16</v>
      </c>
      <c r="C342" t="s">
        <v>56</v>
      </c>
      <c r="D342" t="s">
        <v>30</v>
      </c>
      <c r="E342" s="9">
        <v>0</v>
      </c>
    </row>
    <row r="343" spans="1:5" x14ac:dyDescent="0.35">
      <c r="A343" s="8"/>
      <c r="B343" t="s">
        <v>16</v>
      </c>
      <c r="C343" t="s">
        <v>58</v>
      </c>
      <c r="D343" t="s">
        <v>30</v>
      </c>
      <c r="E343" s="9">
        <v>0</v>
      </c>
    </row>
    <row r="344" spans="1:5" x14ac:dyDescent="0.35">
      <c r="A344" s="8"/>
      <c r="B344" t="s">
        <v>16</v>
      </c>
      <c r="C344" t="s">
        <v>60</v>
      </c>
      <c r="D344" t="s">
        <v>30</v>
      </c>
      <c r="E344" s="9">
        <v>0</v>
      </c>
    </row>
    <row r="345" spans="1:5" x14ac:dyDescent="0.35">
      <c r="A345" s="8"/>
      <c r="B345" t="s">
        <v>16</v>
      </c>
      <c r="C345" t="s">
        <v>61</v>
      </c>
      <c r="D345" t="s">
        <v>30</v>
      </c>
      <c r="E345" s="9">
        <v>0</v>
      </c>
    </row>
    <row r="346" spans="1:5" x14ac:dyDescent="0.35">
      <c r="A346" s="8"/>
      <c r="B346" t="s">
        <v>16</v>
      </c>
      <c r="C346" t="s">
        <v>62</v>
      </c>
      <c r="D346" t="s">
        <v>30</v>
      </c>
      <c r="E346" s="9">
        <v>0</v>
      </c>
    </row>
    <row r="347" spans="1:5" x14ac:dyDescent="0.35">
      <c r="A347" s="8"/>
      <c r="B347" t="s">
        <v>16</v>
      </c>
      <c r="C347" t="s">
        <v>64</v>
      </c>
      <c r="D347" t="s">
        <v>30</v>
      </c>
      <c r="E347" s="9">
        <v>0</v>
      </c>
    </row>
    <row r="348" spans="1:5" x14ac:dyDescent="0.35">
      <c r="A348" s="12"/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0070C0"/>
  </sheetPr>
  <dimension ref="A1:AK160"/>
  <sheetViews>
    <sheetView zoomScale="80" zoomScaleNormal="80" workbookViewId="0">
      <selection activeCell="P14" sqref="P14"/>
    </sheetView>
  </sheetViews>
  <sheetFormatPr defaultRowHeight="14.5" x14ac:dyDescent="0.35"/>
  <cols>
    <col min="2" max="2" width="11.36328125" bestFit="1" customWidth="1"/>
    <col min="20" max="21" width="11.453125" customWidth="1"/>
    <col min="22" max="22" width="11.6328125" customWidth="1"/>
    <col min="34" max="34" width="12.36328125" customWidth="1"/>
    <col min="35" max="35" width="12.08984375" customWidth="1"/>
  </cols>
  <sheetData>
    <row r="1" spans="1:23" x14ac:dyDescent="0.35">
      <c r="C1" t="s">
        <v>147</v>
      </c>
      <c r="D1">
        <f>$Q$1</f>
        <v>7</v>
      </c>
      <c r="K1" t="s">
        <v>148</v>
      </c>
      <c r="L1" t="s">
        <v>149</v>
      </c>
      <c r="P1" t="s">
        <v>2</v>
      </c>
      <c r="Q1">
        <v>7</v>
      </c>
      <c r="S1" s="13" t="s">
        <v>150</v>
      </c>
      <c r="T1" s="13"/>
      <c r="U1" s="13"/>
      <c r="V1" s="13"/>
      <c r="W1" s="13"/>
    </row>
    <row r="2" spans="1:23" x14ac:dyDescent="0.35">
      <c r="C2" t="s">
        <v>151</v>
      </c>
      <c r="D2" s="14">
        <f>B3</f>
        <v>0.99999899999999997</v>
      </c>
      <c r="K2" t="s">
        <v>148</v>
      </c>
      <c r="P2" t="s">
        <v>152</v>
      </c>
      <c r="Q2">
        <v>4</v>
      </c>
      <c r="S2" s="13"/>
      <c r="T2" s="13" t="s">
        <v>153</v>
      </c>
      <c r="U2" s="13"/>
      <c r="V2" s="13"/>
      <c r="W2" s="13"/>
    </row>
    <row r="3" spans="1:23" x14ac:dyDescent="0.35">
      <c r="A3">
        <v>1</v>
      </c>
      <c r="B3" s="14">
        <f>INDEX( seedperc, A4+1,A3+2)</f>
        <v>0.99999899999999997</v>
      </c>
      <c r="S3" s="13"/>
      <c r="T3" s="13" t="s">
        <v>154</v>
      </c>
      <c r="U3" s="13"/>
      <c r="V3" s="13"/>
      <c r="W3" s="13"/>
    </row>
    <row r="4" spans="1:23" x14ac:dyDescent="0.35">
      <c r="A4">
        <v>16</v>
      </c>
      <c r="B4" s="14">
        <f>1-B3</f>
        <v>1.0000000000287557E-6</v>
      </c>
      <c r="D4">
        <f ca="1">_xlfn.BINOM.INV(D1,D2,RAND())</f>
        <v>7</v>
      </c>
      <c r="E4" s="2">
        <f ca="1">IF(D4&gt;=$Q$2, A3, A4)</f>
        <v>1</v>
      </c>
      <c r="H4" t="s">
        <v>147</v>
      </c>
      <c r="I4">
        <f>$Q$1</f>
        <v>7</v>
      </c>
      <c r="S4" s="13"/>
      <c r="T4" s="13"/>
      <c r="U4" s="13"/>
      <c r="V4" s="13"/>
      <c r="W4" s="13"/>
    </row>
    <row r="5" spans="1:23" x14ac:dyDescent="0.35">
      <c r="H5" t="s">
        <v>151</v>
      </c>
      <c r="I5" s="14">
        <f ca="1">G6</f>
        <v>0.90400000000000003</v>
      </c>
    </row>
    <row r="6" spans="1:23" x14ac:dyDescent="0.35">
      <c r="C6" t="s">
        <v>147</v>
      </c>
      <c r="D6">
        <f>$Q$1</f>
        <v>7</v>
      </c>
      <c r="F6">
        <f ca="1">E4</f>
        <v>1</v>
      </c>
      <c r="G6" s="14">
        <f ca="1">INDEX( seedperc, F7+1,F6+2)</f>
        <v>0.90400000000000003</v>
      </c>
    </row>
    <row r="7" spans="1:23" x14ac:dyDescent="0.35">
      <c r="C7" t="s">
        <v>151</v>
      </c>
      <c r="D7" s="14">
        <f>B8</f>
        <v>0.52600000000000002</v>
      </c>
      <c r="F7">
        <f ca="1">E9</f>
        <v>9</v>
      </c>
      <c r="G7" s="14">
        <f ca="1">1-G6</f>
        <v>9.5999999999999974E-2</v>
      </c>
      <c r="I7">
        <f ca="1">_xlfn.BINOM.INV(I4,I5,RAND())</f>
        <v>7</v>
      </c>
      <c r="J7" s="2">
        <f ca="1">IF(I7&gt;=$Q$2, F6, F7)</f>
        <v>1</v>
      </c>
    </row>
    <row r="8" spans="1:23" x14ac:dyDescent="0.35">
      <c r="A8">
        <v>8</v>
      </c>
      <c r="B8" s="14">
        <f>INDEX( seedperc, A9+1,A8+2)</f>
        <v>0.52600000000000002</v>
      </c>
    </row>
    <row r="9" spans="1:23" x14ac:dyDescent="0.35">
      <c r="A9">
        <v>9</v>
      </c>
      <c r="B9" s="14">
        <f>1-B8</f>
        <v>0.47399999999999998</v>
      </c>
      <c r="D9">
        <f ca="1">_xlfn.BINOM.INV(D6,D7,RAND())</f>
        <v>2</v>
      </c>
      <c r="E9" s="2">
        <f ca="1">IF(D9&gt;=$Q$2, A8, A9)</f>
        <v>9</v>
      </c>
    </row>
    <row r="10" spans="1:23" x14ac:dyDescent="0.35">
      <c r="M10" t="s">
        <v>147</v>
      </c>
      <c r="N10">
        <f>$Q$1</f>
        <v>7</v>
      </c>
    </row>
    <row r="11" spans="1:23" x14ac:dyDescent="0.35">
      <c r="C11" t="s">
        <v>147</v>
      </c>
      <c r="D11">
        <f>$Q$1</f>
        <v>7</v>
      </c>
      <c r="M11" t="s">
        <v>151</v>
      </c>
      <c r="N11" s="14">
        <f ca="1">L12</f>
        <v>0.84</v>
      </c>
    </row>
    <row r="12" spans="1:23" x14ac:dyDescent="0.35">
      <c r="C12" t="s">
        <v>151</v>
      </c>
      <c r="D12" s="14">
        <f>B13</f>
        <v>0.66900000000000004</v>
      </c>
      <c r="K12">
        <f ca="1">J7</f>
        <v>1</v>
      </c>
      <c r="L12" s="14">
        <f ca="1">INDEX( seedperc, K13+1,K12+2)</f>
        <v>0.84</v>
      </c>
    </row>
    <row r="13" spans="1:23" x14ac:dyDescent="0.35">
      <c r="A13">
        <v>5</v>
      </c>
      <c r="B13" s="14">
        <f>INDEX( seedperc, A14+1,A13+2)</f>
        <v>0.66900000000000004</v>
      </c>
      <c r="K13">
        <f ca="1">J17</f>
        <v>5</v>
      </c>
      <c r="L13" s="14">
        <f ca="1">1-L12</f>
        <v>0.16000000000000003</v>
      </c>
      <c r="N13">
        <f ca="1">_xlfn.BINOM.INV(N10,N11,RAND())</f>
        <v>7</v>
      </c>
      <c r="O13" s="2">
        <f ca="1">IF(N13&gt;=$Q$2, K12, K13)</f>
        <v>1</v>
      </c>
    </row>
    <row r="14" spans="1:23" x14ac:dyDescent="0.35">
      <c r="A14">
        <v>12</v>
      </c>
      <c r="B14" s="14">
        <f>1-B13</f>
        <v>0.33099999999999996</v>
      </c>
      <c r="D14">
        <f ca="1">_xlfn.BINOM.INV(D11,D12,RAND())</f>
        <v>4</v>
      </c>
      <c r="E14" s="2">
        <f ca="1">IF(D14&gt;=$Q$2, A13, A14)</f>
        <v>5</v>
      </c>
      <c r="H14" t="s">
        <v>147</v>
      </c>
      <c r="I14">
        <f>$Q$1</f>
        <v>7</v>
      </c>
    </row>
    <row r="15" spans="1:23" x14ac:dyDescent="0.35">
      <c r="H15" t="s">
        <v>151</v>
      </c>
      <c r="I15" s="14">
        <f ca="1">G16</f>
        <v>0.44900000000000001</v>
      </c>
    </row>
    <row r="16" spans="1:23" x14ac:dyDescent="0.35">
      <c r="C16" t="s">
        <v>147</v>
      </c>
      <c r="D16">
        <f>$Q$1</f>
        <v>7</v>
      </c>
      <c r="F16">
        <f ca="1">E14</f>
        <v>5</v>
      </c>
      <c r="G16" s="14">
        <f ca="1">INDEX( seedperc, F17+1,F16+2)</f>
        <v>0.44900000000000001</v>
      </c>
    </row>
    <row r="17" spans="1:21" x14ac:dyDescent="0.35">
      <c r="C17" t="s">
        <v>151</v>
      </c>
      <c r="D17" s="14">
        <f>B18</f>
        <v>0.80300000000000005</v>
      </c>
      <c r="F17">
        <f ca="1">E19</f>
        <v>4</v>
      </c>
      <c r="G17" s="14">
        <f ca="1">1-G16</f>
        <v>0.55099999999999993</v>
      </c>
      <c r="I17">
        <f ca="1">_xlfn.BINOM.INV(I14,I15,RAND())</f>
        <v>4</v>
      </c>
      <c r="J17" s="2">
        <f ca="1">IF(I17&gt;=$Q$2, F16, F17)</f>
        <v>5</v>
      </c>
    </row>
    <row r="18" spans="1:21" x14ac:dyDescent="0.35">
      <c r="A18">
        <v>4</v>
      </c>
      <c r="B18" s="14">
        <f>INDEX( seedperc, A19+1,A18+2)</f>
        <v>0.80300000000000005</v>
      </c>
    </row>
    <row r="19" spans="1:21" x14ac:dyDescent="0.35">
      <c r="A19">
        <v>13</v>
      </c>
      <c r="B19" s="14">
        <f>1-B18</f>
        <v>0.19699999999999995</v>
      </c>
      <c r="D19">
        <f ca="1">_xlfn.BINOM.INV(D16,D17,RAND())</f>
        <v>6</v>
      </c>
      <c r="E19" s="2">
        <f ca="1">IF(D19&gt;=$Q$2, A18, A19)</f>
        <v>4</v>
      </c>
    </row>
    <row r="21" spans="1:21" x14ac:dyDescent="0.35">
      <c r="C21" t="s">
        <v>147</v>
      </c>
      <c r="D21">
        <f>$Q$1</f>
        <v>7</v>
      </c>
      <c r="S21" t="s">
        <v>147</v>
      </c>
      <c r="T21">
        <f>$Q$1</f>
        <v>7</v>
      </c>
    </row>
    <row r="22" spans="1:21" x14ac:dyDescent="0.35">
      <c r="C22" t="s">
        <v>151</v>
      </c>
      <c r="D22" s="14">
        <f>B23</f>
        <v>0.64900000000000002</v>
      </c>
      <c r="S22" t="s">
        <v>151</v>
      </c>
      <c r="T22" s="14">
        <f ca="1">R23</f>
        <v>0.53500000000000003</v>
      </c>
    </row>
    <row r="23" spans="1:21" x14ac:dyDescent="0.35">
      <c r="A23">
        <v>6</v>
      </c>
      <c r="B23" s="14">
        <f>INDEX( seedperc, A24+1,A23+2)</f>
        <v>0.64900000000000002</v>
      </c>
      <c r="Q23">
        <f ca="1">O13</f>
        <v>1</v>
      </c>
      <c r="R23" s="14">
        <f ca="1">INDEX( seedperc, Q24+1,Q23+2)</f>
        <v>0.53500000000000003</v>
      </c>
    </row>
    <row r="24" spans="1:21" x14ac:dyDescent="0.35">
      <c r="A24">
        <v>11</v>
      </c>
      <c r="B24" s="14">
        <f>1-B23</f>
        <v>0.35099999999999998</v>
      </c>
      <c r="D24">
        <f ca="1">_xlfn.BINOM.INV(D21,D22,RAND())</f>
        <v>5</v>
      </c>
      <c r="E24" s="2">
        <f ca="1">IF(D24&gt;=$Q$2, A23, A24)</f>
        <v>6</v>
      </c>
      <c r="H24" t="s">
        <v>147</v>
      </c>
      <c r="I24">
        <f>$Q$1</f>
        <v>7</v>
      </c>
      <c r="Q24">
        <f ca="1">O33</f>
        <v>2</v>
      </c>
      <c r="R24" s="14">
        <f ca="1">1-R23</f>
        <v>0.46499999999999997</v>
      </c>
      <c r="T24">
        <f ca="1">_xlfn.BINOM.INV(T21,T22,RAND())</f>
        <v>3</v>
      </c>
      <c r="U24" s="2">
        <f ca="1">IF(T24&gt;=$Q$2, Q23, Q24)</f>
        <v>2</v>
      </c>
    </row>
    <row r="25" spans="1:21" x14ac:dyDescent="0.35">
      <c r="H25" t="s">
        <v>151</v>
      </c>
      <c r="I25" s="14">
        <f ca="1">G26</f>
        <v>0.45200000000000001</v>
      </c>
    </row>
    <row r="26" spans="1:21" x14ac:dyDescent="0.35">
      <c r="C26" t="s">
        <v>147</v>
      </c>
      <c r="D26">
        <f>$Q$1</f>
        <v>7</v>
      </c>
      <c r="F26">
        <f ca="1">E24</f>
        <v>6</v>
      </c>
      <c r="G26" s="14">
        <f ca="1">INDEX( seedperc, F27+1,F26+2)</f>
        <v>0.45200000000000001</v>
      </c>
    </row>
    <row r="27" spans="1:21" x14ac:dyDescent="0.35">
      <c r="C27" t="s">
        <v>151</v>
      </c>
      <c r="D27" s="14">
        <f>B28</f>
        <v>0.83599999999999997</v>
      </c>
      <c r="F27">
        <f ca="1">E29</f>
        <v>3</v>
      </c>
      <c r="G27" s="14">
        <f ca="1">1-G26</f>
        <v>0.54800000000000004</v>
      </c>
      <c r="I27">
        <f ca="1">_xlfn.BINOM.INV(I24,I25,RAND())</f>
        <v>4</v>
      </c>
      <c r="J27" s="2">
        <f ca="1">IF(I27&gt;=$Q$2, F26, F27)</f>
        <v>6</v>
      </c>
    </row>
    <row r="28" spans="1:21" x14ac:dyDescent="0.35">
      <c r="A28">
        <v>3</v>
      </c>
      <c r="B28" s="14">
        <f>INDEX( seedperc, A29+1,A28+2)</f>
        <v>0.83599999999999997</v>
      </c>
    </row>
    <row r="29" spans="1:21" x14ac:dyDescent="0.35">
      <c r="A29">
        <v>14</v>
      </c>
      <c r="B29" s="14">
        <f>1-B28</f>
        <v>0.16400000000000003</v>
      </c>
      <c r="D29">
        <f ca="1">_xlfn.BINOM.INV(D26,D27,RAND())</f>
        <v>6</v>
      </c>
      <c r="E29" s="2">
        <f ca="1">IF(D29&gt;=$Q$2, A28, A29)</f>
        <v>3</v>
      </c>
    </row>
    <row r="30" spans="1:21" x14ac:dyDescent="0.35">
      <c r="M30" t="s">
        <v>147</v>
      </c>
      <c r="N30">
        <f>$Q$1</f>
        <v>7</v>
      </c>
    </row>
    <row r="31" spans="1:21" x14ac:dyDescent="0.35">
      <c r="C31" t="s">
        <v>147</v>
      </c>
      <c r="D31">
        <f>$Q$1</f>
        <v>7</v>
      </c>
      <c r="M31" t="s">
        <v>151</v>
      </c>
      <c r="N31" s="14">
        <f ca="1">L32</f>
        <v>0.27800000000000002</v>
      </c>
    </row>
    <row r="32" spans="1:21" x14ac:dyDescent="0.35">
      <c r="C32" t="s">
        <v>151</v>
      </c>
      <c r="D32" s="14">
        <f>B33</f>
        <v>0.60499999999999998</v>
      </c>
      <c r="K32">
        <f ca="1">J27</f>
        <v>6</v>
      </c>
      <c r="L32" s="14">
        <f ca="1">INDEX( seedperc, K33+1,K32+2)</f>
        <v>0.27800000000000002</v>
      </c>
    </row>
    <row r="33" spans="1:27" x14ac:dyDescent="0.35">
      <c r="A33">
        <v>7</v>
      </c>
      <c r="B33" s="14">
        <f>INDEX( seedperc, A34+1,A33+2)</f>
        <v>0.60499999999999998</v>
      </c>
      <c r="K33">
        <f ca="1">J37</f>
        <v>2</v>
      </c>
      <c r="L33" s="14">
        <f ca="1">1-L32</f>
        <v>0.72199999999999998</v>
      </c>
      <c r="N33">
        <f ca="1">_xlfn.BINOM.INV(N30,N31,RAND())</f>
        <v>2</v>
      </c>
      <c r="O33" s="2">
        <f ca="1">IF(N33&gt;=$Q$2, K32, K33)</f>
        <v>2</v>
      </c>
    </row>
    <row r="34" spans="1:27" x14ac:dyDescent="0.35">
      <c r="A34">
        <v>10</v>
      </c>
      <c r="B34" s="14">
        <f>1-B33</f>
        <v>0.39500000000000002</v>
      </c>
      <c r="D34">
        <f ca="1">_xlfn.BINOM.INV(D31,D32,RAND())</f>
        <v>5</v>
      </c>
      <c r="E34" s="2">
        <f ca="1">IF(D34&gt;=$Q$2, A33, A34)</f>
        <v>7</v>
      </c>
      <c r="H34" t="s">
        <v>147</v>
      </c>
      <c r="I34">
        <f>$Q$1</f>
        <v>7</v>
      </c>
    </row>
    <row r="35" spans="1:27" x14ac:dyDescent="0.35">
      <c r="H35" t="s">
        <v>151</v>
      </c>
      <c r="I35" s="14">
        <f ca="1">G36</f>
        <v>0.27800000000000002</v>
      </c>
    </row>
    <row r="36" spans="1:27" x14ac:dyDescent="0.35">
      <c r="C36" t="s">
        <v>147</v>
      </c>
      <c r="D36">
        <f>$Q$1</f>
        <v>7</v>
      </c>
      <c r="F36">
        <f ca="1">E34</f>
        <v>7</v>
      </c>
      <c r="G36" s="14">
        <f ca="1">INDEX( seedperc, F37+1,F36+2)</f>
        <v>0.27800000000000002</v>
      </c>
    </row>
    <row r="37" spans="1:27" x14ac:dyDescent="0.35">
      <c r="C37" t="s">
        <v>151</v>
      </c>
      <c r="D37" s="14">
        <f>B38</f>
        <v>0.93</v>
      </c>
      <c r="F37">
        <f ca="1">E39</f>
        <v>2</v>
      </c>
      <c r="G37" s="14">
        <f ca="1">1-G36</f>
        <v>0.72199999999999998</v>
      </c>
      <c r="I37">
        <f ca="1">_xlfn.BINOM.INV(I34,I35,RAND())</f>
        <v>2</v>
      </c>
      <c r="J37" s="2">
        <f ca="1">IF(I37&gt;=$Q$2, F36, F37)</f>
        <v>2</v>
      </c>
    </row>
    <row r="38" spans="1:27" x14ac:dyDescent="0.35">
      <c r="A38">
        <v>2</v>
      </c>
      <c r="B38" s="14">
        <f>INDEX( seedperc, A39+1,A38+2)</f>
        <v>0.93</v>
      </c>
    </row>
    <row r="39" spans="1:27" x14ac:dyDescent="0.35">
      <c r="A39">
        <v>15</v>
      </c>
      <c r="B39" s="14">
        <f>1-B38</f>
        <v>6.9999999999999951E-2</v>
      </c>
      <c r="D39">
        <f ca="1">_xlfn.BINOM.INV(D36,D37,RAND())</f>
        <v>6</v>
      </c>
      <c r="E39" s="2">
        <f ca="1">IF(D39&gt;=$Q$2, A38, A39)</f>
        <v>2</v>
      </c>
    </row>
    <row r="41" spans="1:27" x14ac:dyDescent="0.35">
      <c r="Y41" t="s">
        <v>147</v>
      </c>
      <c r="Z41">
        <f>$Q$1</f>
        <v>7</v>
      </c>
    </row>
    <row r="42" spans="1:27" x14ac:dyDescent="0.35">
      <c r="C42" t="s">
        <v>147</v>
      </c>
      <c r="D42">
        <f>$Q$1</f>
        <v>7</v>
      </c>
      <c r="K42" t="s">
        <v>148</v>
      </c>
      <c r="Y42" t="s">
        <v>151</v>
      </c>
      <c r="Z42" s="14">
        <f ca="1">X43</f>
        <v>0.46500000000000002</v>
      </c>
    </row>
    <row r="43" spans="1:27" x14ac:dyDescent="0.35">
      <c r="C43" t="s">
        <v>151</v>
      </c>
      <c r="D43" s="14">
        <f>B44</f>
        <v>0.99999899999999997</v>
      </c>
      <c r="K43" t="s">
        <v>148</v>
      </c>
      <c r="W43">
        <f ca="1">U24</f>
        <v>2</v>
      </c>
      <c r="X43" s="14">
        <f ca="1">INDEX( seedperc, W44+1,W43+2)</f>
        <v>0.46500000000000002</v>
      </c>
    </row>
    <row r="44" spans="1:27" x14ac:dyDescent="0.35">
      <c r="A44">
        <v>1</v>
      </c>
      <c r="B44" s="14">
        <f>INDEX( seedperc, A45+1,A44+2)</f>
        <v>0.99999899999999997</v>
      </c>
      <c r="W44">
        <f ca="1">U65</f>
        <v>1</v>
      </c>
      <c r="X44" s="14">
        <f ca="1">1-X43</f>
        <v>0.53499999999999992</v>
      </c>
      <c r="Z44">
        <f ca="1">_xlfn.BINOM.INV(Z41,Z42,RAND())</f>
        <v>2</v>
      </c>
      <c r="AA44" s="2">
        <f ca="1">IF(Z44&gt;=$Q$2, W43, W44)</f>
        <v>1</v>
      </c>
    </row>
    <row r="45" spans="1:27" x14ac:dyDescent="0.35">
      <c r="A45">
        <v>16</v>
      </c>
      <c r="B45" s="14">
        <f>1-B44</f>
        <v>1.0000000000287557E-6</v>
      </c>
      <c r="D45">
        <f ca="1">_xlfn.BINOM.INV(D42,D43,RAND())</f>
        <v>7</v>
      </c>
      <c r="E45" s="2">
        <f ca="1">IF(D45&gt;=$Q$2, A44, A45)</f>
        <v>1</v>
      </c>
      <c r="H45" t="s">
        <v>147</v>
      </c>
      <c r="I45">
        <f>$Q$1</f>
        <v>7</v>
      </c>
    </row>
    <row r="46" spans="1:27" x14ac:dyDescent="0.35">
      <c r="H46" t="s">
        <v>151</v>
      </c>
      <c r="I46" s="14">
        <f ca="1">G47</f>
        <v>0.80500000000000005</v>
      </c>
    </row>
    <row r="47" spans="1:27" x14ac:dyDescent="0.35">
      <c r="C47" t="s">
        <v>147</v>
      </c>
      <c r="D47">
        <f>$Q$1</f>
        <v>7</v>
      </c>
      <c r="F47">
        <f ca="1">E45</f>
        <v>1</v>
      </c>
      <c r="G47" s="14">
        <f ca="1">INDEX( seedperc, F48+1,F47+2)</f>
        <v>0.80500000000000005</v>
      </c>
    </row>
    <row r="48" spans="1:27" x14ac:dyDescent="0.35">
      <c r="C48" t="s">
        <v>151</v>
      </c>
      <c r="D48" s="14">
        <f>B49</f>
        <v>0.52600000000000002</v>
      </c>
      <c r="F48">
        <f ca="1">E50</f>
        <v>8</v>
      </c>
      <c r="G48" s="14">
        <f ca="1">1-G47</f>
        <v>0.19499999999999995</v>
      </c>
      <c r="I48">
        <f ca="1">_xlfn.BINOM.INV(I45,I46,RAND())</f>
        <v>7</v>
      </c>
      <c r="J48" s="2">
        <f ca="1">IF(I48&gt;=$Q$2, F47, F48)</f>
        <v>1</v>
      </c>
    </row>
    <row r="49" spans="1:20" x14ac:dyDescent="0.35">
      <c r="A49">
        <v>8</v>
      </c>
      <c r="B49" s="14">
        <f>INDEX( seedperc, A50+1,A49+2)</f>
        <v>0.52600000000000002</v>
      </c>
    </row>
    <row r="50" spans="1:20" x14ac:dyDescent="0.35">
      <c r="A50">
        <v>9</v>
      </c>
      <c r="B50" s="14">
        <f>1-B49</f>
        <v>0.47399999999999998</v>
      </c>
      <c r="D50">
        <f ca="1">_xlfn.BINOM.INV(D47,D48,RAND())</f>
        <v>6</v>
      </c>
      <c r="E50" s="2">
        <f ca="1">IF(D50&gt;=$Q$2, A49, A50)</f>
        <v>8</v>
      </c>
    </row>
    <row r="51" spans="1:20" x14ac:dyDescent="0.35">
      <c r="M51" t="s">
        <v>147</v>
      </c>
      <c r="N51">
        <f>$Q$1</f>
        <v>7</v>
      </c>
    </row>
    <row r="52" spans="1:20" x14ac:dyDescent="0.35">
      <c r="C52" t="s">
        <v>147</v>
      </c>
      <c r="D52">
        <f>$Q$1</f>
        <v>7</v>
      </c>
      <c r="M52" t="s">
        <v>151</v>
      </c>
      <c r="N52" s="14">
        <f ca="1">L53</f>
        <v>0.68600000000000005</v>
      </c>
    </row>
    <row r="53" spans="1:20" x14ac:dyDescent="0.35">
      <c r="C53" t="s">
        <v>151</v>
      </c>
      <c r="D53" s="14">
        <f>B54</f>
        <v>0.66900000000000004</v>
      </c>
      <c r="K53">
        <f ca="1">J48</f>
        <v>1</v>
      </c>
      <c r="L53" s="14">
        <f ca="1">INDEX( seedperc, K54+1,K53+2)</f>
        <v>0.68600000000000005</v>
      </c>
    </row>
    <row r="54" spans="1:20" x14ac:dyDescent="0.35">
      <c r="A54">
        <v>5</v>
      </c>
      <c r="B54" s="14">
        <f>INDEX( seedperc, A55+1,A54+2)</f>
        <v>0.66900000000000004</v>
      </c>
      <c r="K54">
        <f ca="1">J58</f>
        <v>4</v>
      </c>
      <c r="L54" s="14">
        <f ca="1">1-L53</f>
        <v>0.31399999999999995</v>
      </c>
      <c r="N54">
        <f ca="1">_xlfn.BINOM.INV(N51,N52,RAND())</f>
        <v>5</v>
      </c>
      <c r="O54" s="2">
        <f ca="1">IF(N54&gt;=$Q$2, K53, K54)</f>
        <v>1</v>
      </c>
    </row>
    <row r="55" spans="1:20" x14ac:dyDescent="0.35">
      <c r="A55">
        <v>12</v>
      </c>
      <c r="B55" s="14">
        <f>1-B54</f>
        <v>0.33099999999999996</v>
      </c>
      <c r="D55">
        <f ca="1">_xlfn.BINOM.INV(D52,D53,RAND())</f>
        <v>4</v>
      </c>
      <c r="E55" s="2">
        <f ca="1">IF(D55&gt;=$Q$2, A54, A55)</f>
        <v>5</v>
      </c>
      <c r="H55" t="s">
        <v>147</v>
      </c>
      <c r="I55">
        <f>$Q$1</f>
        <v>7</v>
      </c>
    </row>
    <row r="56" spans="1:20" x14ac:dyDescent="0.35">
      <c r="H56" t="s">
        <v>151</v>
      </c>
      <c r="I56" s="14">
        <f ca="1">G57</f>
        <v>0.44900000000000001</v>
      </c>
    </row>
    <row r="57" spans="1:20" x14ac:dyDescent="0.35">
      <c r="C57" t="s">
        <v>147</v>
      </c>
      <c r="D57">
        <f>$Q$1</f>
        <v>7</v>
      </c>
      <c r="F57">
        <f ca="1">E55</f>
        <v>5</v>
      </c>
      <c r="G57" s="14">
        <f ca="1">INDEX( seedperc, F58+1,F57+2)</f>
        <v>0.44900000000000001</v>
      </c>
    </row>
    <row r="58" spans="1:20" x14ac:dyDescent="0.35">
      <c r="C58" t="s">
        <v>151</v>
      </c>
      <c r="D58" s="14">
        <f>B59</f>
        <v>0.80300000000000005</v>
      </c>
      <c r="F58">
        <f ca="1">E60</f>
        <v>4</v>
      </c>
      <c r="G58" s="14">
        <f ca="1">1-G57</f>
        <v>0.55099999999999993</v>
      </c>
      <c r="I58">
        <f ca="1">_xlfn.BINOM.INV(I55,I56,RAND())</f>
        <v>2</v>
      </c>
      <c r="J58" s="2">
        <f ca="1">IF(I58&gt;=$Q$2, F57, F58)</f>
        <v>4</v>
      </c>
    </row>
    <row r="59" spans="1:20" x14ac:dyDescent="0.35">
      <c r="A59">
        <v>4</v>
      </c>
      <c r="B59" s="14">
        <f>INDEX( seedperc, A60+1,A59+2)</f>
        <v>0.80300000000000005</v>
      </c>
    </row>
    <row r="60" spans="1:20" x14ac:dyDescent="0.35">
      <c r="A60">
        <v>13</v>
      </c>
      <c r="B60" s="14">
        <f>1-B59</f>
        <v>0.19699999999999995</v>
      </c>
      <c r="D60">
        <f ca="1">_xlfn.BINOM.INV(D57,D58,RAND())</f>
        <v>4</v>
      </c>
      <c r="E60" s="2">
        <f ca="1">IF(D60&gt;=$Q$2, A59, A60)</f>
        <v>4</v>
      </c>
    </row>
    <row r="62" spans="1:20" x14ac:dyDescent="0.35">
      <c r="C62" t="s">
        <v>147</v>
      </c>
      <c r="D62">
        <f>$Q$1</f>
        <v>7</v>
      </c>
      <c r="S62" t="s">
        <v>147</v>
      </c>
      <c r="T62">
        <f>$Q$1</f>
        <v>7</v>
      </c>
    </row>
    <row r="63" spans="1:20" x14ac:dyDescent="0.35">
      <c r="C63" t="s">
        <v>151</v>
      </c>
      <c r="D63" s="14">
        <f>B64</f>
        <v>0.64900000000000002</v>
      </c>
      <c r="S63" t="s">
        <v>151</v>
      </c>
      <c r="T63" s="14">
        <f ca="1">R64</f>
        <v>0.53500000000000003</v>
      </c>
    </row>
    <row r="64" spans="1:20" x14ac:dyDescent="0.35">
      <c r="A64">
        <v>6</v>
      </c>
      <c r="B64" s="14">
        <f>INDEX( seedperc, A65+1,A64+2)</f>
        <v>0.64900000000000002</v>
      </c>
      <c r="Q64">
        <f ca="1">O54</f>
        <v>1</v>
      </c>
      <c r="R64" s="14">
        <f ca="1">INDEX( seedperc, Q65+1,Q64+2)</f>
        <v>0.53500000000000003</v>
      </c>
    </row>
    <row r="65" spans="1:22" x14ac:dyDescent="0.35">
      <c r="A65">
        <v>11</v>
      </c>
      <c r="B65" s="14">
        <f>1-B64</f>
        <v>0.35099999999999998</v>
      </c>
      <c r="D65">
        <f ca="1">_xlfn.BINOM.INV(D62,D63,RAND())</f>
        <v>3</v>
      </c>
      <c r="E65" s="2">
        <f ca="1">IF(D65&gt;=$Q$2, A64, A65)</f>
        <v>11</v>
      </c>
      <c r="H65" t="s">
        <v>147</v>
      </c>
      <c r="I65">
        <f>$Q$1</f>
        <v>7</v>
      </c>
      <c r="Q65">
        <f ca="1">O74</f>
        <v>2</v>
      </c>
      <c r="R65" s="14">
        <f ca="1">1-R64</f>
        <v>0.46499999999999997</v>
      </c>
      <c r="T65">
        <f ca="1">_xlfn.BINOM.INV(T62,T63,RAND())</f>
        <v>4</v>
      </c>
      <c r="U65" s="2">
        <f ca="1">IF(T65&gt;=$Q$2, Q64, Q65)</f>
        <v>1</v>
      </c>
    </row>
    <row r="66" spans="1:22" x14ac:dyDescent="0.35">
      <c r="H66" t="s">
        <v>151</v>
      </c>
      <c r="I66" s="14">
        <f ca="1">G67</f>
        <v>0.29199999999999998</v>
      </c>
    </row>
    <row r="67" spans="1:22" x14ac:dyDescent="0.35">
      <c r="C67" t="s">
        <v>147</v>
      </c>
      <c r="D67">
        <f>$Q$1</f>
        <v>7</v>
      </c>
      <c r="F67">
        <f ca="1">E65</f>
        <v>11</v>
      </c>
      <c r="G67" s="14">
        <f ca="1">INDEX( seedperc, F68+1,F67+2)</f>
        <v>0.29199999999999998</v>
      </c>
    </row>
    <row r="68" spans="1:22" x14ac:dyDescent="0.35">
      <c r="C68" t="s">
        <v>151</v>
      </c>
      <c r="D68" s="14">
        <f>B69</f>
        <v>0.83599999999999997</v>
      </c>
      <c r="F68">
        <f ca="1">E70</f>
        <v>3</v>
      </c>
      <c r="G68" s="14">
        <f ca="1">1-G67</f>
        <v>0.70799999999999996</v>
      </c>
      <c r="I68">
        <f ca="1">_xlfn.BINOM.INV(I65,I66,RAND())</f>
        <v>4</v>
      </c>
      <c r="J68" s="2">
        <f ca="1">IF(I68&gt;=$Q$2, F67, F68)</f>
        <v>11</v>
      </c>
    </row>
    <row r="69" spans="1:22" x14ac:dyDescent="0.35">
      <c r="A69">
        <v>3</v>
      </c>
      <c r="B69" s="14">
        <f>INDEX( seedperc, A70+1,A69+2)</f>
        <v>0.83599999999999997</v>
      </c>
    </row>
    <row r="70" spans="1:22" x14ac:dyDescent="0.35">
      <c r="A70">
        <v>14</v>
      </c>
      <c r="B70" s="14">
        <f>1-B69</f>
        <v>0.16400000000000003</v>
      </c>
      <c r="D70">
        <f ca="1">_xlfn.BINOM.INV(D67,D68,RAND())</f>
        <v>7</v>
      </c>
      <c r="E70" s="2">
        <f ca="1">IF(D70&gt;=$Q$2, A69, A70)</f>
        <v>3</v>
      </c>
      <c r="U70" t="s">
        <v>155</v>
      </c>
    </row>
    <row r="71" spans="1:22" x14ac:dyDescent="0.35">
      <c r="M71" t="s">
        <v>147</v>
      </c>
      <c r="N71">
        <f>$Q$1</f>
        <v>7</v>
      </c>
      <c r="U71">
        <v>1000</v>
      </c>
    </row>
    <row r="72" spans="1:22" x14ac:dyDescent="0.35">
      <c r="C72" t="s">
        <v>147</v>
      </c>
      <c r="D72">
        <f>$Q$1</f>
        <v>7</v>
      </c>
      <c r="M72" t="s">
        <v>151</v>
      </c>
      <c r="N72" s="14">
        <f ca="1">L73</f>
        <v>7.0999999999999994E-2</v>
      </c>
    </row>
    <row r="73" spans="1:22" x14ac:dyDescent="0.35">
      <c r="C73" t="s">
        <v>151</v>
      </c>
      <c r="D73" s="14">
        <f>B74</f>
        <v>0.60499999999999998</v>
      </c>
      <c r="K73">
        <f ca="1">J68</f>
        <v>11</v>
      </c>
      <c r="L73" s="14">
        <f ca="1">INDEX( seedperc, K74+1,K73+2)</f>
        <v>7.0999999999999994E-2</v>
      </c>
      <c r="S73" t="s">
        <v>156</v>
      </c>
      <c r="T73" t="s">
        <v>157</v>
      </c>
      <c r="U73" t="s">
        <v>158</v>
      </c>
      <c r="V73" t="s">
        <v>159</v>
      </c>
    </row>
    <row r="74" spans="1:22" x14ac:dyDescent="0.35">
      <c r="A74">
        <v>7</v>
      </c>
      <c r="B74" s="14">
        <f>INDEX( seedperc, A75+1,A74+2)</f>
        <v>0.60499999999999998</v>
      </c>
      <c r="K74">
        <f ca="1">J78</f>
        <v>2</v>
      </c>
      <c r="L74" s="14">
        <f ca="1">1-L73</f>
        <v>0.92900000000000005</v>
      </c>
      <c r="N74">
        <f ca="1">_xlfn.BINOM.INV(N71,N72,RAND())</f>
        <v>1</v>
      </c>
      <c r="O74" s="2">
        <f ca="1">IF(N74&gt;=$Q$2, K73, K74)</f>
        <v>2</v>
      </c>
      <c r="S74">
        <v>1</v>
      </c>
      <c r="T74">
        <f ca="1">COUNTIF(F:F,"="&amp;S74)+COUNTIF(K:K,"="&amp;S74)+COUNTIF(Q:Q,"="&amp;S74)+COUNTIF(W:W,"="&amp;S74)</f>
        <v>15</v>
      </c>
      <c r="U74">
        <v>13775</v>
      </c>
      <c r="V74">
        <f>U74/$U$71/4</f>
        <v>3.4437500000000001</v>
      </c>
    </row>
    <row r="75" spans="1:22" x14ac:dyDescent="0.35">
      <c r="A75">
        <v>10</v>
      </c>
      <c r="B75" s="14">
        <f>1-B74</f>
        <v>0.39500000000000002</v>
      </c>
      <c r="D75">
        <f ca="1">_xlfn.BINOM.INV(D72,D73,RAND())</f>
        <v>4</v>
      </c>
      <c r="E75" s="2">
        <f ca="1">IF(D75&gt;=$Q$2, A74, A75)</f>
        <v>7</v>
      </c>
      <c r="H75" t="s">
        <v>147</v>
      </c>
      <c r="I75">
        <f>$Q$1</f>
        <v>7</v>
      </c>
      <c r="S75">
        <f>S74+1</f>
        <v>2</v>
      </c>
      <c r="T75">
        <f t="shared" ref="T75:T89" ca="1" si="0">COUNTIF(F:F,"="&amp;S75)+COUNTIF(K:K,"="&amp;S75)+COUNTIF(Q:Q,"="&amp;S75)+COUNTIF(W:W,"="&amp;S75)</f>
        <v>11</v>
      </c>
      <c r="U75">
        <v>11193</v>
      </c>
      <c r="V75">
        <f t="shared" ref="V75:V89" si="1">U75/$U$71/4</f>
        <v>2.7982499999999999</v>
      </c>
    </row>
    <row r="76" spans="1:22" x14ac:dyDescent="0.35">
      <c r="H76" t="s">
        <v>151</v>
      </c>
      <c r="I76" s="14">
        <f ca="1">G77</f>
        <v>0.27800000000000002</v>
      </c>
      <c r="S76">
        <f t="shared" ref="S76:S89" si="2">S75+1</f>
        <v>3</v>
      </c>
      <c r="T76">
        <f t="shared" ca="1" si="0"/>
        <v>8</v>
      </c>
      <c r="U76">
        <v>7714</v>
      </c>
      <c r="V76">
        <f t="shared" si="1"/>
        <v>1.9285000000000001</v>
      </c>
    </row>
    <row r="77" spans="1:22" x14ac:dyDescent="0.35">
      <c r="C77" t="s">
        <v>147</v>
      </c>
      <c r="D77">
        <f>$Q$1</f>
        <v>7</v>
      </c>
      <c r="F77">
        <f ca="1">E75</f>
        <v>7</v>
      </c>
      <c r="G77" s="14">
        <f ca="1">INDEX( seedperc, F78+1,F77+2)</f>
        <v>0.27800000000000002</v>
      </c>
      <c r="S77">
        <f t="shared" si="2"/>
        <v>4</v>
      </c>
      <c r="T77">
        <f t="shared" ca="1" si="0"/>
        <v>8</v>
      </c>
      <c r="U77">
        <v>8016</v>
      </c>
      <c r="V77">
        <f t="shared" si="1"/>
        <v>2.004</v>
      </c>
    </row>
    <row r="78" spans="1:22" x14ac:dyDescent="0.35">
      <c r="C78" t="s">
        <v>151</v>
      </c>
      <c r="D78" s="14">
        <f>B79</f>
        <v>0.93</v>
      </c>
      <c r="F78">
        <f ca="1">E80</f>
        <v>2</v>
      </c>
      <c r="G78" s="14">
        <f ca="1">1-G77</f>
        <v>0.72199999999999998</v>
      </c>
      <c r="I78">
        <f ca="1">_xlfn.BINOM.INV(I75,I76,RAND())</f>
        <v>2</v>
      </c>
      <c r="J78" s="2">
        <f ca="1">IF(I78&gt;=$Q$2, F77, F78)</f>
        <v>2</v>
      </c>
      <c r="S78">
        <f t="shared" si="2"/>
        <v>5</v>
      </c>
      <c r="T78">
        <f t="shared" ca="1" si="0"/>
        <v>3</v>
      </c>
      <c r="U78">
        <v>4645</v>
      </c>
      <c r="V78">
        <f t="shared" si="1"/>
        <v>1.1612499999999999</v>
      </c>
    </row>
    <row r="79" spans="1:22" x14ac:dyDescent="0.35">
      <c r="A79">
        <v>2</v>
      </c>
      <c r="B79" s="14">
        <f>INDEX( seedperc, A80+1,A79+2)</f>
        <v>0.93</v>
      </c>
      <c r="S79">
        <f t="shared" si="2"/>
        <v>6</v>
      </c>
      <c r="T79">
        <f t="shared" ca="1" si="0"/>
        <v>3</v>
      </c>
      <c r="U79">
        <v>4812</v>
      </c>
      <c r="V79">
        <f t="shared" si="1"/>
        <v>1.2030000000000001</v>
      </c>
    </row>
    <row r="80" spans="1:22" x14ac:dyDescent="0.35">
      <c r="A80">
        <v>15</v>
      </c>
      <c r="B80" s="14">
        <f>1-B79</f>
        <v>6.9999999999999951E-2</v>
      </c>
      <c r="D80">
        <f ca="1">_xlfn.BINOM.INV(D77,D78,RAND())</f>
        <v>7</v>
      </c>
      <c r="E80" s="2">
        <f ca="1">IF(D80&gt;=$Q$2, A79, A80)</f>
        <v>2</v>
      </c>
      <c r="S80">
        <f t="shared" si="2"/>
        <v>7</v>
      </c>
      <c r="T80">
        <f t="shared" ca="1" si="0"/>
        <v>4</v>
      </c>
      <c r="U80">
        <v>4204</v>
      </c>
      <c r="V80">
        <f t="shared" si="1"/>
        <v>1.0509999999999999</v>
      </c>
    </row>
    <row r="81" spans="1:37" x14ac:dyDescent="0.35">
      <c r="S81">
        <f t="shared" si="2"/>
        <v>8</v>
      </c>
      <c r="T81">
        <f t="shared" ca="1" si="0"/>
        <v>1</v>
      </c>
      <c r="U81">
        <v>2330</v>
      </c>
      <c r="V81">
        <f t="shared" si="1"/>
        <v>0.58250000000000002</v>
      </c>
    </row>
    <row r="82" spans="1:37" x14ac:dyDescent="0.35">
      <c r="C82" t="s">
        <v>147</v>
      </c>
      <c r="D82">
        <f>$Q$1</f>
        <v>7</v>
      </c>
      <c r="K82" t="s">
        <v>148</v>
      </c>
      <c r="S82">
        <f t="shared" si="2"/>
        <v>9</v>
      </c>
      <c r="T82">
        <f t="shared" ca="1" si="0"/>
        <v>3</v>
      </c>
      <c r="U82">
        <v>1808</v>
      </c>
      <c r="V82">
        <f t="shared" si="1"/>
        <v>0.45200000000000001</v>
      </c>
    </row>
    <row r="83" spans="1:37" x14ac:dyDescent="0.35">
      <c r="C83" t="s">
        <v>151</v>
      </c>
      <c r="D83" s="14">
        <f>B84</f>
        <v>0.99999899999999997</v>
      </c>
      <c r="K83" t="s">
        <v>148</v>
      </c>
      <c r="S83">
        <f t="shared" si="2"/>
        <v>10</v>
      </c>
      <c r="T83">
        <f t="shared" ca="1" si="0"/>
        <v>1</v>
      </c>
      <c r="U83">
        <v>1570</v>
      </c>
      <c r="V83">
        <f t="shared" si="1"/>
        <v>0.39250000000000002</v>
      </c>
      <c r="AE83" t="s">
        <v>147</v>
      </c>
      <c r="AF83">
        <f>$Q$1</f>
        <v>7</v>
      </c>
    </row>
    <row r="84" spans="1:37" x14ac:dyDescent="0.35">
      <c r="A84">
        <v>1</v>
      </c>
      <c r="B84" s="14">
        <f>INDEX( seedperc, A85+1,A84+2)</f>
        <v>0.99999899999999997</v>
      </c>
      <c r="S84">
        <f t="shared" si="2"/>
        <v>11</v>
      </c>
      <c r="T84">
        <f t="shared" ca="1" si="0"/>
        <v>3</v>
      </c>
      <c r="U84">
        <v>927</v>
      </c>
      <c r="V84">
        <f t="shared" si="1"/>
        <v>0.23175000000000001</v>
      </c>
      <c r="AE84" t="s">
        <v>151</v>
      </c>
      <c r="AF84" s="14">
        <f ca="1">AD85</f>
        <v>0.5</v>
      </c>
    </row>
    <row r="85" spans="1:37" x14ac:dyDescent="0.35">
      <c r="A85">
        <v>16</v>
      </c>
      <c r="B85" s="14">
        <f>1-B84</f>
        <v>1.0000000000287557E-6</v>
      </c>
      <c r="D85">
        <f ca="1">_xlfn.BINOM.INV(D82,D83,RAND())</f>
        <v>7</v>
      </c>
      <c r="E85" s="2">
        <f ca="1">IF(D85&gt;=$Q$2, A84, A85)</f>
        <v>1</v>
      </c>
      <c r="H85" t="s">
        <v>147</v>
      </c>
      <c r="I85">
        <f>$Q$1</f>
        <v>7</v>
      </c>
      <c r="S85">
        <f t="shared" si="2"/>
        <v>12</v>
      </c>
      <c r="T85">
        <f t="shared" ca="1" si="0"/>
        <v>2</v>
      </c>
      <c r="U85">
        <v>821</v>
      </c>
      <c r="V85">
        <f t="shared" si="1"/>
        <v>0.20524999999999999</v>
      </c>
      <c r="AC85">
        <f ca="1">AA44</f>
        <v>1</v>
      </c>
      <c r="AD85" s="14">
        <f ca="1">INDEX( seedperc, AC86+1,AC85+2)</f>
        <v>0.5</v>
      </c>
    </row>
    <row r="86" spans="1:37" x14ac:dyDescent="0.35">
      <c r="H86" t="s">
        <v>151</v>
      </c>
      <c r="I86" s="14">
        <f ca="1">G87</f>
        <v>0.90400000000000003</v>
      </c>
      <c r="S86">
        <f t="shared" si="2"/>
        <v>13</v>
      </c>
      <c r="T86">
        <f t="shared" ca="1" si="0"/>
        <v>0</v>
      </c>
      <c r="U86">
        <v>110</v>
      </c>
      <c r="V86">
        <f t="shared" si="1"/>
        <v>2.75E-2</v>
      </c>
      <c r="AC86">
        <f ca="1">AA124</f>
        <v>1</v>
      </c>
      <c r="AD86" s="14">
        <f ca="1">1-AD85</f>
        <v>0.5</v>
      </c>
      <c r="AF86">
        <f ca="1">_xlfn.BINOM.INV(AF83,AF84,RAND())</f>
        <v>5</v>
      </c>
      <c r="AG86" s="2">
        <f ca="1">IF(AF86&gt;=$Q$2, AC85, AC86)</f>
        <v>1</v>
      </c>
    </row>
    <row r="87" spans="1:37" x14ac:dyDescent="0.35">
      <c r="C87" t="s">
        <v>147</v>
      </c>
      <c r="D87">
        <f>$Q$1</f>
        <v>7</v>
      </c>
      <c r="F87">
        <f ca="1">E85</f>
        <v>1</v>
      </c>
      <c r="G87" s="14">
        <f ca="1">INDEX( seedperc, F88+1,F87+2)</f>
        <v>0.90400000000000003</v>
      </c>
      <c r="S87">
        <f>S86+1</f>
        <v>14</v>
      </c>
      <c r="T87">
        <f t="shared" ca="1" si="0"/>
        <v>0</v>
      </c>
      <c r="U87">
        <v>74</v>
      </c>
      <c r="V87">
        <f t="shared" si="1"/>
        <v>1.8499999999999999E-2</v>
      </c>
      <c r="AF87" t="s">
        <v>160</v>
      </c>
      <c r="AG87">
        <v>1</v>
      </c>
      <c r="AH87">
        <v>3</v>
      </c>
      <c r="AI87">
        <v>5</v>
      </c>
      <c r="AJ87">
        <v>7</v>
      </c>
    </row>
    <row r="88" spans="1:37" x14ac:dyDescent="0.35">
      <c r="C88" t="s">
        <v>151</v>
      </c>
      <c r="D88" s="14">
        <f>B89</f>
        <v>0.52600000000000002</v>
      </c>
      <c r="F88">
        <f ca="1">E90</f>
        <v>9</v>
      </c>
      <c r="G88" s="14">
        <f ca="1">1-G87</f>
        <v>9.5999999999999974E-2</v>
      </c>
      <c r="I88">
        <f ca="1">_xlfn.BINOM.INV(I85,I86,RAND())</f>
        <v>7</v>
      </c>
      <c r="J88" s="2">
        <f ca="1">IF(I88&gt;=$Q$2, F87, F88)</f>
        <v>1</v>
      </c>
      <c r="S88">
        <f t="shared" si="2"/>
        <v>15</v>
      </c>
      <c r="T88">
        <f t="shared" ca="1" si="0"/>
        <v>0</v>
      </c>
      <c r="U88">
        <v>1</v>
      </c>
      <c r="V88">
        <f t="shared" si="1"/>
        <v>2.5000000000000001E-4</v>
      </c>
      <c r="AF88">
        <v>1</v>
      </c>
      <c r="AG88">
        <v>0.52100000000000002</v>
      </c>
      <c r="AH88">
        <v>0.64600000000000002</v>
      </c>
      <c r="AI88" s="15">
        <v>0.67800000000000005</v>
      </c>
      <c r="AJ88">
        <v>0.70099999999999996</v>
      </c>
      <c r="AK88" s="16"/>
    </row>
    <row r="89" spans="1:37" x14ac:dyDescent="0.35">
      <c r="A89">
        <v>8</v>
      </c>
      <c r="B89" s="14">
        <f>IF(INDEX(seedperc,A90+1,A89+2)=1,0.999999,INDEX(seedperc,A90+1,A89+2))</f>
        <v>0.52600000000000002</v>
      </c>
      <c r="S89">
        <f t="shared" si="2"/>
        <v>16</v>
      </c>
      <c r="T89">
        <f t="shared" ca="1" si="0"/>
        <v>0</v>
      </c>
      <c r="U89">
        <v>0</v>
      </c>
      <c r="V89">
        <f t="shared" si="1"/>
        <v>0</v>
      </c>
      <c r="AE89" s="17"/>
      <c r="AF89">
        <f>AF88+1</f>
        <v>2</v>
      </c>
      <c r="AG89">
        <v>0.21299999999999999</v>
      </c>
      <c r="AH89">
        <v>0.221</v>
      </c>
      <c r="AI89">
        <v>0.23799999999999999</v>
      </c>
      <c r="AJ89">
        <v>0.245</v>
      </c>
      <c r="AK89" s="16"/>
    </row>
    <row r="90" spans="1:37" x14ac:dyDescent="0.35">
      <c r="A90">
        <v>9</v>
      </c>
      <c r="B90" s="14">
        <f>1-B89</f>
        <v>0.47399999999999998</v>
      </c>
      <c r="D90">
        <f ca="1">_xlfn.BINOM.INV(D87,D88,RAND())</f>
        <v>1</v>
      </c>
      <c r="E90" s="2">
        <f ca="1">IF(D90&gt;=$Q$2, A89, A90)</f>
        <v>9</v>
      </c>
      <c r="AF90">
        <f t="shared" ref="AF90:AF103" si="3">AF89+1</f>
        <v>3</v>
      </c>
      <c r="AG90">
        <v>9.9000000000000005E-2</v>
      </c>
      <c r="AH90">
        <v>6.4000000000000001E-2</v>
      </c>
      <c r="AI90">
        <v>0.05</v>
      </c>
      <c r="AJ90">
        <v>0.03</v>
      </c>
      <c r="AK90" s="16"/>
    </row>
    <row r="91" spans="1:37" x14ac:dyDescent="0.35">
      <c r="M91" t="s">
        <v>147</v>
      </c>
      <c r="N91">
        <f>$Q$1</f>
        <v>7</v>
      </c>
      <c r="AF91">
        <f t="shared" si="3"/>
        <v>4</v>
      </c>
      <c r="AG91">
        <v>5.5E-2</v>
      </c>
      <c r="AH91">
        <v>3.4000000000000002E-2</v>
      </c>
      <c r="AI91">
        <v>2.1000000000000001E-2</v>
      </c>
      <c r="AJ91">
        <v>1.7000000000000001E-2</v>
      </c>
      <c r="AK91" s="16"/>
    </row>
    <row r="92" spans="1:37" x14ac:dyDescent="0.35">
      <c r="C92" t="s">
        <v>147</v>
      </c>
      <c r="D92">
        <f>$Q$1</f>
        <v>7</v>
      </c>
      <c r="M92" t="s">
        <v>151</v>
      </c>
      <c r="N92" s="14">
        <f ca="1">L93</f>
        <v>0.68600000000000005</v>
      </c>
      <c r="AF92">
        <f t="shared" si="3"/>
        <v>5</v>
      </c>
      <c r="AG92">
        <v>3.5999999999999997E-2</v>
      </c>
      <c r="AH92">
        <v>1.2999999999999999E-2</v>
      </c>
      <c r="AI92">
        <v>6.0000000000000001E-3</v>
      </c>
      <c r="AJ92">
        <v>0</v>
      </c>
      <c r="AK92" s="16"/>
    </row>
    <row r="93" spans="1:37" x14ac:dyDescent="0.35">
      <c r="C93" t="s">
        <v>151</v>
      </c>
      <c r="D93" s="14">
        <f>B94</f>
        <v>0.66900000000000004</v>
      </c>
      <c r="K93">
        <f ca="1">J88</f>
        <v>1</v>
      </c>
      <c r="L93" s="14">
        <f ca="1">INDEX( seedperc, K94+1,K93+2)</f>
        <v>0.68600000000000005</v>
      </c>
      <c r="AF93">
        <f t="shared" si="3"/>
        <v>6</v>
      </c>
      <c r="AG93">
        <v>2.5999999999999999E-2</v>
      </c>
      <c r="AH93">
        <v>7.0000000000000001E-3</v>
      </c>
      <c r="AI93">
        <v>5.0000000000000001E-3</v>
      </c>
      <c r="AJ93">
        <v>4.0000000000000001E-3</v>
      </c>
      <c r="AK93" s="16"/>
    </row>
    <row r="94" spans="1:37" x14ac:dyDescent="0.35">
      <c r="A94">
        <v>5</v>
      </c>
      <c r="B94" s="14">
        <f>INDEX( seedperc, A95+1,A94+2)</f>
        <v>0.66900000000000004</v>
      </c>
      <c r="K94">
        <f ca="1">J98</f>
        <v>4</v>
      </c>
      <c r="L94" s="14">
        <f ca="1">1-L93</f>
        <v>0.31399999999999995</v>
      </c>
      <c r="N94">
        <f ca="1">_xlfn.BINOM.INV(N91,N92,RAND())</f>
        <v>4</v>
      </c>
      <c r="O94" s="2">
        <f ca="1">IF(N94&gt;=$Q$2, K93, K94)</f>
        <v>1</v>
      </c>
      <c r="AF94">
        <f t="shared" si="3"/>
        <v>7</v>
      </c>
      <c r="AG94">
        <v>8.9999999999999993E-3</v>
      </c>
      <c r="AH94">
        <v>1E-3</v>
      </c>
      <c r="AI94">
        <v>0</v>
      </c>
      <c r="AJ94">
        <v>0</v>
      </c>
      <c r="AK94" s="16"/>
    </row>
    <row r="95" spans="1:37" x14ac:dyDescent="0.35">
      <c r="A95">
        <v>12</v>
      </c>
      <c r="B95" s="14">
        <f>1-B94</f>
        <v>0.33099999999999996</v>
      </c>
      <c r="D95">
        <f ca="1">_xlfn.BINOM.INV(D92,D93,RAND())</f>
        <v>3</v>
      </c>
      <c r="E95" s="2">
        <f ca="1">IF(D95&gt;=$Q$2, A94, A95)</f>
        <v>12</v>
      </c>
      <c r="H95" t="s">
        <v>147</v>
      </c>
      <c r="I95">
        <f>$Q$1</f>
        <v>7</v>
      </c>
      <c r="AE95" t="s">
        <v>161</v>
      </c>
      <c r="AF95">
        <f t="shared" si="3"/>
        <v>8</v>
      </c>
      <c r="AG95">
        <v>7.0000000000000001E-3</v>
      </c>
      <c r="AH95">
        <v>4.0000000000000001E-3</v>
      </c>
      <c r="AI95">
        <v>1E-3</v>
      </c>
      <c r="AJ95">
        <v>2E-3</v>
      </c>
      <c r="AK95" s="16"/>
    </row>
    <row r="96" spans="1:37" x14ac:dyDescent="0.35">
      <c r="H96" t="s">
        <v>151</v>
      </c>
      <c r="I96" s="14">
        <f ca="1">G97</f>
        <v>0.316</v>
      </c>
      <c r="AF96">
        <f t="shared" si="3"/>
        <v>9</v>
      </c>
      <c r="AG96">
        <v>3.0000000000000001E-3</v>
      </c>
      <c r="AH96">
        <v>0</v>
      </c>
      <c r="AI96">
        <v>0</v>
      </c>
      <c r="AJ96">
        <v>0</v>
      </c>
      <c r="AK96" s="16"/>
    </row>
    <row r="97" spans="1:37" x14ac:dyDescent="0.35">
      <c r="C97" t="s">
        <v>147</v>
      </c>
      <c r="D97">
        <f>$Q$1</f>
        <v>7</v>
      </c>
      <c r="F97">
        <f ca="1">E95</f>
        <v>12</v>
      </c>
      <c r="G97" s="14">
        <f ca="1">INDEX( seedperc, F98+1,F97+2)</f>
        <v>0.316</v>
      </c>
      <c r="AF97">
        <f t="shared" si="3"/>
        <v>10</v>
      </c>
      <c r="AG97">
        <v>2E-3</v>
      </c>
      <c r="AH97">
        <v>0</v>
      </c>
      <c r="AI97">
        <v>0</v>
      </c>
      <c r="AJ97">
        <v>0</v>
      </c>
      <c r="AK97" s="16"/>
    </row>
    <row r="98" spans="1:37" x14ac:dyDescent="0.35">
      <c r="C98" t="s">
        <v>151</v>
      </c>
      <c r="D98" s="14">
        <f>B99</f>
        <v>0.80300000000000005</v>
      </c>
      <c r="F98">
        <f ca="1">E100</f>
        <v>4</v>
      </c>
      <c r="G98" s="14">
        <f ca="1">1-G97</f>
        <v>0.68399999999999994</v>
      </c>
      <c r="I98">
        <f ca="1">_xlfn.BINOM.INV(I95,I96,RAND())</f>
        <v>1</v>
      </c>
      <c r="J98" s="2">
        <f ca="1">IF(I98&gt;=$Q$2, F97, F98)</f>
        <v>4</v>
      </c>
      <c r="AF98">
        <f>AF97+1</f>
        <v>11</v>
      </c>
      <c r="AG98">
        <v>8.0000000000000002E-3</v>
      </c>
      <c r="AH98">
        <v>6.0000000000000001E-3</v>
      </c>
      <c r="AI98">
        <v>1E-3</v>
      </c>
      <c r="AJ98">
        <v>1E-3</v>
      </c>
      <c r="AK98" s="16"/>
    </row>
    <row r="99" spans="1:37" x14ac:dyDescent="0.35">
      <c r="A99">
        <v>4</v>
      </c>
      <c r="B99" s="14">
        <f>INDEX( seedperc, A100+1,A99+2)</f>
        <v>0.80300000000000005</v>
      </c>
      <c r="AF99">
        <f t="shared" si="3"/>
        <v>12</v>
      </c>
      <c r="AG99">
        <v>0</v>
      </c>
      <c r="AH99">
        <v>0</v>
      </c>
      <c r="AI99">
        <v>0</v>
      </c>
      <c r="AJ99">
        <v>0</v>
      </c>
      <c r="AK99" s="16"/>
    </row>
    <row r="100" spans="1:37" x14ac:dyDescent="0.35">
      <c r="A100">
        <v>13</v>
      </c>
      <c r="B100" s="14">
        <f>1-B99</f>
        <v>0.19699999999999995</v>
      </c>
      <c r="D100">
        <f ca="1">_xlfn.BINOM.INV(D97,D98,RAND())</f>
        <v>4</v>
      </c>
      <c r="E100" s="2">
        <f ca="1">IF(D100&gt;=$Q$2, A99, A100)</f>
        <v>4</v>
      </c>
      <c r="AF100">
        <f t="shared" si="3"/>
        <v>13</v>
      </c>
      <c r="AG100">
        <v>0</v>
      </c>
      <c r="AH100">
        <v>0</v>
      </c>
      <c r="AI100">
        <v>0</v>
      </c>
      <c r="AJ100">
        <v>0</v>
      </c>
      <c r="AK100" s="16"/>
    </row>
    <row r="101" spans="1:37" x14ac:dyDescent="0.35">
      <c r="S101" t="s">
        <v>147</v>
      </c>
      <c r="T101">
        <f>$Q$1</f>
        <v>7</v>
      </c>
      <c r="AF101">
        <f t="shared" si="3"/>
        <v>14</v>
      </c>
      <c r="AG101">
        <v>0</v>
      </c>
      <c r="AH101">
        <v>0</v>
      </c>
      <c r="AI101">
        <v>0</v>
      </c>
      <c r="AJ101">
        <v>0</v>
      </c>
      <c r="AK101" s="16"/>
    </row>
    <row r="102" spans="1:37" x14ac:dyDescent="0.35">
      <c r="C102" t="s">
        <v>147</v>
      </c>
      <c r="D102">
        <f>$Q$1</f>
        <v>7</v>
      </c>
      <c r="S102" t="s">
        <v>151</v>
      </c>
      <c r="T102" s="14">
        <f ca="1">R103</f>
        <v>0.60599999999999998</v>
      </c>
      <c r="AF102">
        <f t="shared" si="3"/>
        <v>15</v>
      </c>
      <c r="AG102">
        <v>2.1000000000000001E-2</v>
      </c>
      <c r="AH102">
        <v>4.0000000000000001E-3</v>
      </c>
      <c r="AI102">
        <v>0</v>
      </c>
      <c r="AJ102">
        <v>0</v>
      </c>
      <c r="AK102" s="16"/>
    </row>
    <row r="103" spans="1:37" x14ac:dyDescent="0.35">
      <c r="C103" t="s">
        <v>151</v>
      </c>
      <c r="D103" s="14">
        <f>B104</f>
        <v>0.64900000000000002</v>
      </c>
      <c r="Q103">
        <f ca="1">O94</f>
        <v>1</v>
      </c>
      <c r="R103" s="14">
        <f ca="1">INDEX( seedperc, Q104+1,Q103+2)</f>
        <v>0.60599999999999998</v>
      </c>
      <c r="AF103">
        <f t="shared" si="3"/>
        <v>16</v>
      </c>
      <c r="AG103">
        <v>0</v>
      </c>
      <c r="AH103">
        <v>0</v>
      </c>
      <c r="AI103">
        <v>0</v>
      </c>
      <c r="AJ103">
        <v>0</v>
      </c>
      <c r="AK103" s="16"/>
    </row>
    <row r="104" spans="1:37" x14ac:dyDescent="0.35">
      <c r="A104">
        <v>6</v>
      </c>
      <c r="B104" s="14">
        <f>INDEX( seedperc, A105+1,A104+2)</f>
        <v>0.64900000000000002</v>
      </c>
      <c r="Q104">
        <f ca="1">O114</f>
        <v>3</v>
      </c>
      <c r="R104" s="14">
        <f ca="1">1-R103</f>
        <v>0.39400000000000002</v>
      </c>
      <c r="T104">
        <f ca="1">_xlfn.BINOM.INV(T101,T102,RAND())</f>
        <v>4</v>
      </c>
      <c r="U104" s="2">
        <f ca="1">IF(T104&gt;=$Q$2, Q103, Q104)</f>
        <v>1</v>
      </c>
    </row>
    <row r="105" spans="1:37" x14ac:dyDescent="0.35">
      <c r="A105">
        <v>11</v>
      </c>
      <c r="B105" s="14">
        <f>1-B104</f>
        <v>0.35099999999999998</v>
      </c>
      <c r="D105">
        <f ca="1">_xlfn.BINOM.INV(D102,D103,RAND())</f>
        <v>5</v>
      </c>
      <c r="E105" s="2">
        <f ca="1">IF(D105&gt;=$Q$2, A104, A105)</f>
        <v>6</v>
      </c>
      <c r="H105" t="s">
        <v>147</v>
      </c>
      <c r="I105">
        <f>$Q$1</f>
        <v>7</v>
      </c>
    </row>
    <row r="106" spans="1:37" x14ac:dyDescent="0.35">
      <c r="H106" t="s">
        <v>151</v>
      </c>
      <c r="I106" s="14">
        <f ca="1">G107</f>
        <v>0.45200000000000001</v>
      </c>
    </row>
    <row r="107" spans="1:37" x14ac:dyDescent="0.35">
      <c r="C107" t="s">
        <v>147</v>
      </c>
      <c r="D107">
        <f>$Q$1</f>
        <v>7</v>
      </c>
      <c r="F107">
        <f ca="1">E105</f>
        <v>6</v>
      </c>
      <c r="G107" s="14">
        <f ca="1">INDEX( seedperc, F108+1,F107+2)</f>
        <v>0.45200000000000001</v>
      </c>
    </row>
    <row r="108" spans="1:37" x14ac:dyDescent="0.35">
      <c r="C108" t="s">
        <v>151</v>
      </c>
      <c r="D108" s="14">
        <f>B109</f>
        <v>0.83599999999999997</v>
      </c>
      <c r="F108">
        <f ca="1">E110</f>
        <v>3</v>
      </c>
      <c r="G108" s="14">
        <f ca="1">1-G107</f>
        <v>0.54800000000000004</v>
      </c>
      <c r="I108">
        <f ca="1">_xlfn.BINOM.INV(I105,I106,RAND())</f>
        <v>3</v>
      </c>
      <c r="J108" s="2">
        <f ca="1">IF(I108&gt;=$Q$2, F107, F108)</f>
        <v>3</v>
      </c>
    </row>
    <row r="109" spans="1:37" x14ac:dyDescent="0.35">
      <c r="A109">
        <v>3</v>
      </c>
      <c r="B109" s="14">
        <f>INDEX( seedperc, A110+1,A109+2)</f>
        <v>0.83599999999999997</v>
      </c>
    </row>
    <row r="110" spans="1:37" x14ac:dyDescent="0.35">
      <c r="A110">
        <v>14</v>
      </c>
      <c r="B110" s="14">
        <f>1-B109</f>
        <v>0.16400000000000003</v>
      </c>
      <c r="D110">
        <f ca="1">_xlfn.BINOM.INV(D107,D108,RAND())</f>
        <v>6</v>
      </c>
      <c r="E110" s="2">
        <f ca="1">IF(D110&gt;=$Q$2, A109, A110)</f>
        <v>3</v>
      </c>
    </row>
    <row r="111" spans="1:37" x14ac:dyDescent="0.35">
      <c r="M111" t="s">
        <v>147</v>
      </c>
      <c r="N111">
        <f>$Q$1</f>
        <v>7</v>
      </c>
    </row>
    <row r="112" spans="1:37" x14ac:dyDescent="0.35">
      <c r="C112" t="s">
        <v>147</v>
      </c>
      <c r="D112">
        <f>$Q$1</f>
        <v>7</v>
      </c>
      <c r="M112" t="s">
        <v>151</v>
      </c>
      <c r="N112" s="14">
        <f ca="1">L113</f>
        <v>0.38300000000000001</v>
      </c>
    </row>
    <row r="113" spans="1:27" x14ac:dyDescent="0.35">
      <c r="C113" t="s">
        <v>151</v>
      </c>
      <c r="D113" s="14">
        <f>B114</f>
        <v>0.60499999999999998</v>
      </c>
      <c r="K113">
        <f ca="1">J108</f>
        <v>3</v>
      </c>
      <c r="L113" s="14">
        <f ca="1">INDEX( seedperc, K114+1,K113+2)</f>
        <v>0.38300000000000001</v>
      </c>
    </row>
    <row r="114" spans="1:27" x14ac:dyDescent="0.35">
      <c r="A114">
        <v>7</v>
      </c>
      <c r="B114" s="14">
        <f>INDEX( seedperc, A115+1,A114+2)</f>
        <v>0.60499999999999998</v>
      </c>
      <c r="K114">
        <f ca="1">J118</f>
        <v>2</v>
      </c>
      <c r="L114" s="14">
        <f ca="1">1-L113</f>
        <v>0.61699999999999999</v>
      </c>
      <c r="N114">
        <f ca="1">_xlfn.BINOM.INV(N111,N112,RAND())</f>
        <v>4</v>
      </c>
      <c r="O114" s="2">
        <f ca="1">IF(N114&gt;=$Q$2, K113, K114)</f>
        <v>3</v>
      </c>
    </row>
    <row r="115" spans="1:27" x14ac:dyDescent="0.35">
      <c r="A115">
        <v>10</v>
      </c>
      <c r="B115" s="14">
        <f>1-B114</f>
        <v>0.39500000000000002</v>
      </c>
      <c r="D115">
        <f ca="1">_xlfn.BINOM.INV(D112,D113,RAND())</f>
        <v>6</v>
      </c>
      <c r="E115" s="2">
        <f ca="1">IF(D115&gt;=$Q$2, A114, A115)</f>
        <v>7</v>
      </c>
      <c r="H115" t="s">
        <v>147</v>
      </c>
      <c r="I115">
        <f>$Q$1</f>
        <v>7</v>
      </c>
    </row>
    <row r="116" spans="1:27" x14ac:dyDescent="0.35">
      <c r="H116" t="s">
        <v>151</v>
      </c>
      <c r="I116" s="14">
        <f ca="1">G117</f>
        <v>0.27800000000000002</v>
      </c>
    </row>
    <row r="117" spans="1:27" x14ac:dyDescent="0.35">
      <c r="C117" t="s">
        <v>147</v>
      </c>
      <c r="D117">
        <f>$Q$1</f>
        <v>7</v>
      </c>
      <c r="F117">
        <f ca="1">E115</f>
        <v>7</v>
      </c>
      <c r="G117" s="14">
        <f ca="1">INDEX( seedperc, F118+1,F117+2)</f>
        <v>0.27800000000000002</v>
      </c>
    </row>
    <row r="118" spans="1:27" x14ac:dyDescent="0.35">
      <c r="C118" t="s">
        <v>151</v>
      </c>
      <c r="D118" s="14">
        <f>B119</f>
        <v>0.93</v>
      </c>
      <c r="F118">
        <f ca="1">E120</f>
        <v>2</v>
      </c>
      <c r="G118" s="14">
        <f ca="1">1-G117</f>
        <v>0.72199999999999998</v>
      </c>
      <c r="I118">
        <f ca="1">_xlfn.BINOM.INV(I115,I116,RAND())</f>
        <v>1</v>
      </c>
      <c r="J118" s="2">
        <f ca="1">IF(I118&gt;=$Q$2, F117, F118)</f>
        <v>2</v>
      </c>
    </row>
    <row r="119" spans="1:27" x14ac:dyDescent="0.35">
      <c r="A119">
        <v>2</v>
      </c>
      <c r="B119" s="14">
        <f>INDEX( seedperc, A120+1,A119+2)</f>
        <v>0.93</v>
      </c>
    </row>
    <row r="120" spans="1:27" x14ac:dyDescent="0.35">
      <c r="A120">
        <v>15</v>
      </c>
      <c r="B120" s="14">
        <f>1-B119</f>
        <v>6.9999999999999951E-2</v>
      </c>
      <c r="D120">
        <f ca="1">_xlfn.BINOM.INV(D117,D118,RAND())</f>
        <v>7</v>
      </c>
      <c r="E120" s="2">
        <f ca="1">IF(D120&gt;=$Q$2, A119, A120)</f>
        <v>2</v>
      </c>
    </row>
    <row r="121" spans="1:27" x14ac:dyDescent="0.35">
      <c r="Y121" t="s">
        <v>147</v>
      </c>
      <c r="Z121">
        <f>$Q$1</f>
        <v>7</v>
      </c>
    </row>
    <row r="122" spans="1:27" x14ac:dyDescent="0.35">
      <c r="C122" t="s">
        <v>147</v>
      </c>
      <c r="D122">
        <f>$Q$1</f>
        <v>7</v>
      </c>
      <c r="K122" t="s">
        <v>148</v>
      </c>
      <c r="Y122" t="s">
        <v>151</v>
      </c>
      <c r="Z122" s="14">
        <f ca="1">X123</f>
        <v>0.5</v>
      </c>
    </row>
    <row r="123" spans="1:27" x14ac:dyDescent="0.35">
      <c r="C123" t="s">
        <v>151</v>
      </c>
      <c r="D123" s="14">
        <f>B124</f>
        <v>0.99999899999999997</v>
      </c>
      <c r="K123" t="s">
        <v>148</v>
      </c>
      <c r="W123">
        <f ca="1">U104</f>
        <v>1</v>
      </c>
      <c r="X123" s="14">
        <f ca="1">INDEX( seedperc, W124+1,W123+2)</f>
        <v>0.5</v>
      </c>
    </row>
    <row r="124" spans="1:27" x14ac:dyDescent="0.35">
      <c r="A124">
        <v>1</v>
      </c>
      <c r="B124" s="14">
        <f>INDEX( seedperc, A125+1,A124+2)</f>
        <v>0.99999899999999997</v>
      </c>
      <c r="W124">
        <f ca="1">U146</f>
        <v>1</v>
      </c>
      <c r="X124" s="14">
        <f ca="1">1-X123</f>
        <v>0.5</v>
      </c>
      <c r="Z124">
        <f ca="1">_xlfn.BINOM.INV(Z121,Z122,RAND())</f>
        <v>4</v>
      </c>
      <c r="AA124" s="2">
        <f ca="1">IF(Z124&gt;=$Q$2, W123, W124)</f>
        <v>1</v>
      </c>
    </row>
    <row r="125" spans="1:27" x14ac:dyDescent="0.35">
      <c r="A125">
        <v>16</v>
      </c>
      <c r="B125" s="14">
        <f>1-B124</f>
        <v>1.0000000000287557E-6</v>
      </c>
      <c r="D125">
        <f ca="1">_xlfn.BINOM.INV(D122,D123,RAND())</f>
        <v>7</v>
      </c>
      <c r="E125" s="2">
        <f ca="1">IF(D125&gt;=$Q$2, A124, A125)</f>
        <v>1</v>
      </c>
      <c r="H125" t="s">
        <v>147</v>
      </c>
      <c r="I125">
        <f>$Q$1</f>
        <v>7</v>
      </c>
    </row>
    <row r="126" spans="1:27" x14ac:dyDescent="0.35">
      <c r="H126" t="s">
        <v>151</v>
      </c>
      <c r="I126" s="14">
        <f ca="1">G127</f>
        <v>0.90400000000000003</v>
      </c>
    </row>
    <row r="127" spans="1:27" x14ac:dyDescent="0.35">
      <c r="C127" t="s">
        <v>147</v>
      </c>
      <c r="D127">
        <f>$Q$1</f>
        <v>7</v>
      </c>
      <c r="F127">
        <f ca="1">E125</f>
        <v>1</v>
      </c>
      <c r="G127" s="14">
        <f ca="1">INDEX( seedperc, F128+1,F127+2)</f>
        <v>0.90400000000000003</v>
      </c>
    </row>
    <row r="128" spans="1:27" x14ac:dyDescent="0.35">
      <c r="C128" t="s">
        <v>151</v>
      </c>
      <c r="D128" s="14">
        <f>B129</f>
        <v>0.52600000000000002</v>
      </c>
      <c r="F128">
        <f ca="1">E130</f>
        <v>9</v>
      </c>
      <c r="G128" s="14">
        <f ca="1">1-G127</f>
        <v>9.5999999999999974E-2</v>
      </c>
      <c r="I128">
        <f ca="1">_xlfn.BINOM.INV(I125,I126,RAND())</f>
        <v>7</v>
      </c>
      <c r="J128" s="2">
        <f ca="1">IF(I128&gt;=$Q$2, F127, F128)</f>
        <v>1</v>
      </c>
    </row>
    <row r="129" spans="1:20" x14ac:dyDescent="0.35">
      <c r="A129">
        <v>8</v>
      </c>
      <c r="B129" s="14">
        <f>INDEX( seedperc, A130+1,A129+2)</f>
        <v>0.52600000000000002</v>
      </c>
    </row>
    <row r="130" spans="1:20" x14ac:dyDescent="0.35">
      <c r="A130">
        <v>9</v>
      </c>
      <c r="B130" s="14">
        <f>1-B129</f>
        <v>0.47399999999999998</v>
      </c>
      <c r="D130">
        <f ca="1">_xlfn.BINOM.INV(D127,D128,RAND())</f>
        <v>3</v>
      </c>
      <c r="E130" s="2">
        <f ca="1">IF(D130&gt;=$Q$2, A129, A130)</f>
        <v>9</v>
      </c>
    </row>
    <row r="131" spans="1:20" x14ac:dyDescent="0.35">
      <c r="E131" s="18"/>
      <c r="M131" t="s">
        <v>147</v>
      </c>
      <c r="N131">
        <f>$Q$1</f>
        <v>7</v>
      </c>
    </row>
    <row r="132" spans="1:20" x14ac:dyDescent="0.35">
      <c r="C132" t="s">
        <v>147</v>
      </c>
      <c r="D132">
        <f>$Q$1</f>
        <v>7</v>
      </c>
      <c r="M132" t="s">
        <v>151</v>
      </c>
      <c r="N132" s="14">
        <f ca="1">L133</f>
        <v>0.68600000000000005</v>
      </c>
    </row>
    <row r="133" spans="1:20" x14ac:dyDescent="0.35">
      <c r="C133" t="s">
        <v>151</v>
      </c>
      <c r="D133" s="14">
        <f>B134</f>
        <v>0.66900000000000004</v>
      </c>
      <c r="K133">
        <f ca="1">J128</f>
        <v>1</v>
      </c>
      <c r="L133" s="14">
        <f ca="1">INDEX( seedperc, K134+1,K133+2)</f>
        <v>0.68600000000000005</v>
      </c>
    </row>
    <row r="134" spans="1:20" x14ac:dyDescent="0.35">
      <c r="A134">
        <v>5</v>
      </c>
      <c r="B134" s="14">
        <f>INDEX( seedperc, A135+1,A134+2)</f>
        <v>0.66900000000000004</v>
      </c>
      <c r="K134">
        <f ca="1">J138</f>
        <v>4</v>
      </c>
      <c r="L134" s="14">
        <f ca="1">1-L133</f>
        <v>0.31399999999999995</v>
      </c>
      <c r="N134">
        <f ca="1">_xlfn.BINOM.INV(N131,N132,RAND())</f>
        <v>5</v>
      </c>
      <c r="O134" s="2">
        <f ca="1">IF(N134&gt;=$Q$2, K133, K134)</f>
        <v>1</v>
      </c>
    </row>
    <row r="135" spans="1:20" x14ac:dyDescent="0.35">
      <c r="A135">
        <v>12</v>
      </c>
      <c r="B135" s="14">
        <f>1-B134</f>
        <v>0.33099999999999996</v>
      </c>
      <c r="D135">
        <f ca="1">_xlfn.BINOM.INV(D132,D133,RAND())</f>
        <v>3</v>
      </c>
      <c r="E135" s="2">
        <f ca="1">IF(D135&gt;=$Q$2, A134, A135)</f>
        <v>12</v>
      </c>
      <c r="H135" t="s">
        <v>147</v>
      </c>
      <c r="I135">
        <f>$Q$1</f>
        <v>7</v>
      </c>
    </row>
    <row r="136" spans="1:20" x14ac:dyDescent="0.35">
      <c r="H136" t="s">
        <v>151</v>
      </c>
      <c r="I136" s="14">
        <f ca="1">G137</f>
        <v>0.316</v>
      </c>
    </row>
    <row r="137" spans="1:20" x14ac:dyDescent="0.35">
      <c r="C137" t="s">
        <v>147</v>
      </c>
      <c r="D137">
        <f>$Q$1</f>
        <v>7</v>
      </c>
      <c r="F137">
        <f ca="1">E135</f>
        <v>12</v>
      </c>
      <c r="G137" s="14">
        <f ca="1">INDEX( seedperc, F138+1,F137+2)</f>
        <v>0.316</v>
      </c>
    </row>
    <row r="138" spans="1:20" x14ac:dyDescent="0.35">
      <c r="C138" t="s">
        <v>151</v>
      </c>
      <c r="D138" s="14">
        <f>B139</f>
        <v>0.80300000000000005</v>
      </c>
      <c r="F138">
        <f ca="1">E140</f>
        <v>4</v>
      </c>
      <c r="G138" s="14">
        <f ca="1">1-G137</f>
        <v>0.68399999999999994</v>
      </c>
      <c r="I138">
        <f ca="1">_xlfn.BINOM.INV(I135,I136,RAND())</f>
        <v>2</v>
      </c>
      <c r="J138" s="2">
        <f ca="1">IF(I138&gt;=$Q$2, F137, F138)</f>
        <v>4</v>
      </c>
    </row>
    <row r="139" spans="1:20" x14ac:dyDescent="0.35">
      <c r="A139">
        <v>4</v>
      </c>
      <c r="B139" s="14">
        <f>INDEX( seedperc, A140+1,A139+2)</f>
        <v>0.80300000000000005</v>
      </c>
    </row>
    <row r="140" spans="1:20" x14ac:dyDescent="0.35">
      <c r="A140">
        <v>13</v>
      </c>
      <c r="B140" s="14">
        <f>1-B139</f>
        <v>0.19699999999999995</v>
      </c>
      <c r="D140">
        <f ca="1">_xlfn.BINOM.INV(D137,D138,RAND())</f>
        <v>7</v>
      </c>
      <c r="E140" s="2">
        <f ca="1">IF(D140&gt;=$Q$2, A139, A140)</f>
        <v>4</v>
      </c>
    </row>
    <row r="142" spans="1:20" x14ac:dyDescent="0.35">
      <c r="C142" t="s">
        <v>147</v>
      </c>
      <c r="D142">
        <f>$Q$1</f>
        <v>7</v>
      </c>
    </row>
    <row r="143" spans="1:20" x14ac:dyDescent="0.35">
      <c r="C143" t="s">
        <v>151</v>
      </c>
      <c r="D143" s="14">
        <f>B144</f>
        <v>0.64900000000000002</v>
      </c>
      <c r="S143" t="s">
        <v>147</v>
      </c>
      <c r="T143">
        <f>$Q$1</f>
        <v>7</v>
      </c>
    </row>
    <row r="144" spans="1:20" x14ac:dyDescent="0.35">
      <c r="A144">
        <v>6</v>
      </c>
      <c r="B144" s="14">
        <f>INDEX( seedperc, A145+1,A144+2)</f>
        <v>0.64900000000000002</v>
      </c>
      <c r="S144" t="s">
        <v>151</v>
      </c>
      <c r="T144" s="14">
        <f ca="1">R145</f>
        <v>0.60599999999999998</v>
      </c>
    </row>
    <row r="145" spans="1:21" x14ac:dyDescent="0.35">
      <c r="A145">
        <v>11</v>
      </c>
      <c r="B145" s="14">
        <f>1-B144</f>
        <v>0.35099999999999998</v>
      </c>
      <c r="D145">
        <f ca="1">_xlfn.BINOM.INV(D142,D143,RAND())</f>
        <v>3</v>
      </c>
      <c r="E145" s="2">
        <f ca="1">IF(D145&gt;=$Q$2, A144, A145)</f>
        <v>11</v>
      </c>
      <c r="H145" t="s">
        <v>147</v>
      </c>
      <c r="I145">
        <f>$Q$1</f>
        <v>7</v>
      </c>
      <c r="Q145">
        <f ca="1">O134</f>
        <v>1</v>
      </c>
      <c r="R145" s="14">
        <f ca="1">INDEX( seedperc, Q146+1,Q145+2)</f>
        <v>0.60599999999999998</v>
      </c>
    </row>
    <row r="146" spans="1:21" x14ac:dyDescent="0.35">
      <c r="H146" t="s">
        <v>151</v>
      </c>
      <c r="I146" s="14">
        <f ca="1">G147</f>
        <v>0.29199999999999998</v>
      </c>
      <c r="Q146">
        <f ca="1">O154</f>
        <v>3</v>
      </c>
      <c r="R146" s="14">
        <f ca="1">1-R145</f>
        <v>0.39400000000000002</v>
      </c>
      <c r="T146">
        <f ca="1">_xlfn.BINOM.INV(T143,T144,RAND())</f>
        <v>4</v>
      </c>
      <c r="U146" s="2">
        <f ca="1">IF(T146&gt;=$Q$2, Q145, Q146)</f>
        <v>1</v>
      </c>
    </row>
    <row r="147" spans="1:21" x14ac:dyDescent="0.35">
      <c r="C147" t="s">
        <v>147</v>
      </c>
      <c r="D147">
        <f>$Q$1</f>
        <v>7</v>
      </c>
      <c r="F147">
        <f ca="1">E145</f>
        <v>11</v>
      </c>
      <c r="G147" s="14">
        <f ca="1">INDEX( seedperc, F148+1,F147+2)</f>
        <v>0.29199999999999998</v>
      </c>
    </row>
    <row r="148" spans="1:21" x14ac:dyDescent="0.35">
      <c r="C148" t="s">
        <v>151</v>
      </c>
      <c r="D148" s="14">
        <f>B149</f>
        <v>0.83599999999999997</v>
      </c>
      <c r="F148">
        <f ca="1">E150</f>
        <v>3</v>
      </c>
      <c r="G148" s="14">
        <f ca="1">1-G147</f>
        <v>0.70799999999999996</v>
      </c>
      <c r="I148">
        <f ca="1">_xlfn.BINOM.INV(I145,I146,RAND())</f>
        <v>1</v>
      </c>
      <c r="J148" s="2">
        <f ca="1">IF(I148&gt;=$Q$2, F147, F148)</f>
        <v>3</v>
      </c>
    </row>
    <row r="149" spans="1:21" x14ac:dyDescent="0.35">
      <c r="A149">
        <v>3</v>
      </c>
      <c r="B149" s="14">
        <f>INDEX( seedperc, A150+1,A149+2)</f>
        <v>0.83599999999999997</v>
      </c>
    </row>
    <row r="150" spans="1:21" x14ac:dyDescent="0.35">
      <c r="A150">
        <v>14</v>
      </c>
      <c r="B150" s="14">
        <f>1-B149</f>
        <v>0.16400000000000003</v>
      </c>
      <c r="D150">
        <f ca="1">_xlfn.BINOM.INV(D147,D148,RAND())</f>
        <v>6</v>
      </c>
      <c r="E150" s="2">
        <f ca="1">IF(D150&gt;=$Q$2, A149, A150)</f>
        <v>3</v>
      </c>
    </row>
    <row r="151" spans="1:21" x14ac:dyDescent="0.35">
      <c r="M151" t="s">
        <v>147</v>
      </c>
      <c r="N151">
        <f>$Q$1</f>
        <v>7</v>
      </c>
    </row>
    <row r="152" spans="1:21" x14ac:dyDescent="0.35">
      <c r="C152" t="s">
        <v>147</v>
      </c>
      <c r="D152">
        <f>$Q$1</f>
        <v>7</v>
      </c>
      <c r="M152" t="s">
        <v>151</v>
      </c>
      <c r="N152" s="14">
        <f ca="1">L153</f>
        <v>0.38300000000000001</v>
      </c>
    </row>
    <row r="153" spans="1:21" x14ac:dyDescent="0.35">
      <c r="C153" t="s">
        <v>151</v>
      </c>
      <c r="D153" s="14">
        <f>B154</f>
        <v>0.60499999999999998</v>
      </c>
      <c r="K153">
        <f ca="1">J148</f>
        <v>3</v>
      </c>
      <c r="L153" s="14">
        <f ca="1">INDEX( seedperc, K154+1,K153+2)</f>
        <v>0.38300000000000001</v>
      </c>
    </row>
    <row r="154" spans="1:21" x14ac:dyDescent="0.35">
      <c r="A154">
        <v>7</v>
      </c>
      <c r="B154" s="14">
        <f>INDEX( seedperc, A155+1,A154+2)</f>
        <v>0.60499999999999998</v>
      </c>
      <c r="K154">
        <f ca="1">J158</f>
        <v>2</v>
      </c>
      <c r="L154" s="14">
        <f ca="1">1-L153</f>
        <v>0.61699999999999999</v>
      </c>
      <c r="N154">
        <f ca="1">_xlfn.BINOM.INV(N151,N152,RAND())</f>
        <v>4</v>
      </c>
      <c r="O154" s="2">
        <f ca="1">IF(N154&gt;=$Q$2, K153, K154)</f>
        <v>3</v>
      </c>
    </row>
    <row r="155" spans="1:21" x14ac:dyDescent="0.35">
      <c r="A155">
        <v>10</v>
      </c>
      <c r="B155" s="14">
        <f>1-B154</f>
        <v>0.39500000000000002</v>
      </c>
      <c r="D155">
        <f ca="1">_xlfn.BINOM.INV(D152,D153,RAND())</f>
        <v>1</v>
      </c>
      <c r="E155" s="2">
        <f ca="1">IF(D155&gt;=$Q$2, A154, A155)</f>
        <v>10</v>
      </c>
      <c r="H155" t="s">
        <v>147</v>
      </c>
      <c r="I155">
        <f>$Q$1</f>
        <v>7</v>
      </c>
    </row>
    <row r="156" spans="1:21" x14ac:dyDescent="0.35">
      <c r="H156" t="s">
        <v>151</v>
      </c>
      <c r="I156" s="14">
        <f ca="1">G157</f>
        <v>0.40699999999999997</v>
      </c>
    </row>
    <row r="157" spans="1:21" x14ac:dyDescent="0.35">
      <c r="C157" t="s">
        <v>147</v>
      </c>
      <c r="D157">
        <f>$Q$1</f>
        <v>7</v>
      </c>
      <c r="F157">
        <f ca="1">E155</f>
        <v>10</v>
      </c>
      <c r="G157" s="14">
        <f ca="1">INDEX( seedperc, F158+1,F157+2)</f>
        <v>0.40699999999999997</v>
      </c>
    </row>
    <row r="158" spans="1:21" x14ac:dyDescent="0.35">
      <c r="C158" t="s">
        <v>151</v>
      </c>
      <c r="D158" s="14">
        <f>B159</f>
        <v>0.93</v>
      </c>
      <c r="F158">
        <f ca="1">E160</f>
        <v>2</v>
      </c>
      <c r="G158" s="14">
        <f ca="1">1-G157</f>
        <v>0.59299999999999997</v>
      </c>
      <c r="I158">
        <f ca="1">_xlfn.BINOM.INV(I155,I156,RAND())</f>
        <v>3</v>
      </c>
      <c r="J158" s="2">
        <f ca="1">IF(I158&gt;=$Q$2, F157, F158)</f>
        <v>2</v>
      </c>
    </row>
    <row r="159" spans="1:21" x14ac:dyDescent="0.35">
      <c r="A159">
        <v>2</v>
      </c>
      <c r="B159" s="14">
        <f>INDEX( seedperc, A160+1,A159+2)</f>
        <v>0.93</v>
      </c>
    </row>
    <row r="160" spans="1:21" x14ac:dyDescent="0.35">
      <c r="A160">
        <v>15</v>
      </c>
      <c r="B160" s="14">
        <f>1-B159</f>
        <v>6.9999999999999951E-2</v>
      </c>
      <c r="D160">
        <f ca="1">_xlfn.BINOM.INV(D157,D158,RAND())</f>
        <v>5</v>
      </c>
      <c r="E160" s="2">
        <f ca="1">IF(D160&gt;=$Q$2, A159, A160)</f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Simulation</vt:lpstr>
      <vt:lpstr>Team Table</vt:lpstr>
      <vt:lpstr>East Standings</vt:lpstr>
      <vt:lpstr>West Standings</vt:lpstr>
      <vt:lpstr>1 game series</vt:lpstr>
      <vt:lpstr>NCAA Data</vt:lpstr>
      <vt:lpstr>NCAA Sim</vt:lpstr>
      <vt:lpstr>SeedHist</vt:lpstr>
      <vt:lpstr>seedperc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helpdesk</dc:creator>
  <cp:lastModifiedBy>student</cp:lastModifiedBy>
  <dcterms:created xsi:type="dcterms:W3CDTF">2016-04-14T01:44:00Z</dcterms:created>
  <dcterms:modified xsi:type="dcterms:W3CDTF">2021-05-04T12:23:46Z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c65423ed-29e5-4d67-a1fe-f00ec5e6802a</vt:lpwstr>
  </property>
</Properties>
</file>